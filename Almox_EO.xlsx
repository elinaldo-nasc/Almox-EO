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Produtos" sheetId="2" state="visible" r:id="rId2"/>
    <sheet xmlns:r="http://schemas.openxmlformats.org/officeDocument/2006/relationships" name="Movimentações" sheetId="3" state="visible" r:id="rId3"/>
    <sheet xmlns:r="http://schemas.openxmlformats.org/officeDocument/2006/relationships" name="Estoque" sheetId="4" state="visible" r:id="rId4"/>
    <sheet xmlns:r="http://schemas.openxmlformats.org/officeDocument/2006/relationships" name="Relatórios" sheetId="5" state="visible" r:id="rId5"/>
    <sheet xmlns:r="http://schemas.openxmlformats.org/officeDocument/2006/relationships" name="Leia-me" sheetId="6" state="visible" r:id="rId6"/>
  </sheets>
  <definedNames>
    <definedName name="lst_Categorias">'Relatórios'!$L$30:$L$36</definedName>
    <definedName name="lst_Tipos">'Relatórios'!$O$30:$O$31</definedName>
    <definedName name="lst_Responsaveis">'Relatórios'!$P$30:$P$35</definedName>
    <definedName name="lst_Meses">'Relatórios'!$A$6:$A$11</definedName>
    <definedName name="lst_Codigos">OFFSET('Produtos'!$A$5,0,0,MAX(1,COUNTA('Produtos'!$A$5:$A$204)),1)</definedName>
    <definedName name="_xlnm.Print_Area" localSheetId="0">'Dashboard'!$A$1:$Z$40</definedName>
    <definedName name="_xlnm._FilterDatabase" localSheetId="1" hidden="1">'Produtos'!$A$4:$I$204</definedName>
    <definedName name="_xlnm.Print_Titles" localSheetId="1">'Produtos'!$4:$4</definedName>
    <definedName name="_xlnm._FilterDatabase" localSheetId="2" hidden="1">'Movimentações'!$A$4:$J$1004</definedName>
    <definedName name="_xlnm.Print_Titles" localSheetId="2">'Movimentações'!$4:$4</definedName>
    <definedName name="_xlnm._FilterDatabase" localSheetId="3" hidden="1">'Estoque'!$A$4:$O$204</definedName>
    <definedName name="_xlnm.Print_Titles" localSheetId="3">'Estoque'!$4:$4</definedName>
    <definedName name="_xlnm._FilterDatabase" localSheetId="4" hidden="1">'Relatórios'!$A$41:$H$241</definedName>
    <definedName name="_xlnm.Print_Titles" localSheetId="4">'Relatórios'!$1:$3</definedName>
  </definedNames>
  <calcPr calcId="124519" fullCalcOnLoad="1"/>
</workbook>
</file>

<file path=xl/styles.xml><?xml version="1.0" encoding="utf-8"?>
<styleSheet xmlns="http://schemas.openxmlformats.org/spreadsheetml/2006/main">
  <numFmts count="7">
    <numFmt numFmtId="164" formatCode="&quot;R$&quot; #,##0.00"/>
    <numFmt numFmtId="165" formatCode="dd/mm/yyyy"/>
    <numFmt numFmtId="166" formatCode="0.00000"/>
    <numFmt numFmtId="167" formatCode="#,##0;[Red]-#,##0"/>
    <numFmt numFmtId="168" formatCode="0.0%"/>
    <numFmt numFmtId="169" formatCode="0.000000"/>
    <numFmt numFmtId="170" formatCode="&quot;R$&quot; #,##0"/>
  </numFmts>
  <fonts count="32">
    <font>
      <name val="Calibri"/>
      <family val="2"/>
      <color theme="1"/>
      <sz val="11"/>
      <scheme val="minor"/>
    </font>
    <font>
      <name val="Segoe UI"/>
      <b val="1"/>
      <color rgb="00FFFFFF"/>
      <sz val="15"/>
    </font>
    <font>
      <name val="Segoe UI"/>
      <color rgb="00BBC9CB"/>
      <sz val="9"/>
    </font>
    <font>
      <name val="Segoe UI"/>
      <b val="1"/>
      <color rgb="003C494B"/>
      <sz val="9"/>
    </font>
    <font>
      <name val="Segoe UI"/>
      <color rgb="003C494B"/>
      <sz val="9"/>
    </font>
    <font>
      <name val="Segoe UI"/>
      <b val="1"/>
      <color rgb="00FFFFFF"/>
      <sz val="9"/>
    </font>
    <font>
      <name val="Segoe UI"/>
      <color rgb="001C2026"/>
      <sz val="10"/>
    </font>
    <font>
      <name val="Segoe UI"/>
      <b val="1"/>
      <color rgb="00859395"/>
      <sz val="9"/>
    </font>
    <font>
      <name val="Segoe UI"/>
      <color rgb="003C494B"/>
      <sz val="10"/>
    </font>
    <font>
      <name val="Segoe UI"/>
      <b val="1"/>
      <color rgb="00BBC9CB"/>
      <sz val="9"/>
    </font>
    <font>
      <name val="Segoe UI"/>
      <b val="1"/>
      <color rgb="0045DEED"/>
      <sz val="10"/>
    </font>
    <font>
      <name val="Segoe UI"/>
      <b val="1"/>
      <color rgb="0012334D"/>
      <sz val="11"/>
    </font>
    <font>
      <name val="Segoe UI"/>
      <b val="1"/>
      <color rgb="0012334D"/>
      <sz val="10"/>
    </font>
    <font>
      <name val="Segoe UI"/>
      <b val="1"/>
      <color rgb="00B54A00"/>
      <sz val="10"/>
    </font>
    <font>
      <name val="Segoe UI"/>
      <b val="1"/>
      <color rgb="0010141A"/>
      <sz val="20"/>
    </font>
    <font>
      <name val="Segoe UI"/>
      <b val="1"/>
      <color rgb="00FFFFFF"/>
      <sz val="22"/>
    </font>
    <font>
      <name val="Segoe UI"/>
      <color rgb="00BBC9CB"/>
      <sz val="11"/>
    </font>
    <font>
      <name val="Segoe UI"/>
      <b val="1"/>
      <color rgb="0045DEED"/>
      <sz val="9"/>
    </font>
    <font>
      <name val="Segoe UI"/>
      <b val="1"/>
      <color rgb="0045DEED"/>
      <sz val="11"/>
    </font>
    <font>
      <name val="Segoe UI"/>
      <b val="1"/>
      <color rgb="00FFB68D"/>
      <sz val="8"/>
    </font>
    <font>
      <name val="Segoe UI"/>
      <b val="1"/>
      <color rgb="00DFE2EC"/>
      <sz val="10"/>
    </font>
    <font>
      <name val="Segoe UI"/>
      <color rgb="00859395"/>
      <sz val="9"/>
    </font>
    <font>
      <name val="Segoe UI"/>
      <i val="1"/>
      <color rgb="00859395"/>
      <sz val="8"/>
    </font>
    <font>
      <name val="Segoe UI"/>
      <b val="1"/>
      <color rgb="00859395"/>
      <sz val="8"/>
    </font>
    <font>
      <name val="Segoe UI"/>
      <b val="1"/>
      <color rgb="00FFFFFF"/>
      <sz val="20"/>
    </font>
    <font>
      <name val="Segoe UI"/>
      <color rgb="00BBC9CB"/>
      <sz val="8"/>
    </font>
    <font>
      <name val="Segoe UI"/>
      <b val="1"/>
      <color rgb="00FF5B55"/>
      <sz val="20"/>
    </font>
    <font>
      <name val="Segoe UI"/>
      <b val="1"/>
      <color rgb="00FFFFFF"/>
      <sz val="10"/>
    </font>
    <font>
      <name val="Segoe UI"/>
      <color rgb="00DFE2EC"/>
      <sz val="9"/>
    </font>
    <font>
      <name val="Segoe UI"/>
      <b val="1"/>
      <color rgb="00FFFFFF"/>
      <sz val="18"/>
    </font>
    <font>
      <name val="Segoe UI"/>
      <color rgb="0045DEED"/>
      <sz val="9"/>
    </font>
    <font>
      <name val="Segoe UI"/>
      <b val="1"/>
      <color rgb="0012334D"/>
      <sz val="12"/>
    </font>
  </fonts>
  <fills count="16">
    <fill>
      <patternFill/>
    </fill>
    <fill>
      <patternFill patternType="gray125"/>
    </fill>
    <fill>
      <patternFill patternType="solid">
        <fgColor rgb="0010141A"/>
        <bgColor rgb="0010141A"/>
      </patternFill>
    </fill>
    <fill>
      <patternFill patternType="solid">
        <fgColor rgb="00FFFFFF"/>
        <bgColor rgb="00FFFFFF"/>
      </patternFill>
    </fill>
    <fill>
      <patternFill patternType="solid">
        <fgColor rgb="00EAF1F5"/>
        <bgColor rgb="00EAF1F5"/>
      </patternFill>
    </fill>
    <fill>
      <patternFill patternType="solid">
        <fgColor rgb="001C2026"/>
        <bgColor rgb="001C2026"/>
      </patternFill>
    </fill>
    <fill>
      <patternFill patternType="solid">
        <fgColor rgb="00262A31"/>
        <bgColor rgb="00262A31"/>
      </patternFill>
    </fill>
    <fill>
      <patternFill patternType="solid">
        <fgColor rgb="00DCE7EE"/>
        <bgColor rgb="00DCE7EE"/>
      </patternFill>
    </fill>
    <fill>
      <patternFill patternType="solid">
        <fgColor rgb="00F3F6F8"/>
        <bgColor rgb="00F3F6F8"/>
      </patternFill>
    </fill>
    <fill>
      <patternFill patternType="solid">
        <fgColor rgb="0045DEED"/>
        <bgColor rgb="0045DEED"/>
      </patternFill>
    </fill>
    <fill>
      <patternFill patternType="solid">
        <fgColor rgb="002A211C"/>
        <bgColor rgb="002A211C"/>
      </patternFill>
    </fill>
    <fill>
      <patternFill patternType="solid">
        <fgColor rgb="00FF5B55"/>
        <bgColor rgb="00FF5B55"/>
      </patternFill>
    </fill>
    <fill>
      <patternFill patternType="solid">
        <fgColor rgb="0016C79A"/>
        <bgColor rgb="0016C79A"/>
      </patternFill>
    </fill>
    <fill>
      <patternFill patternType="solid">
        <fgColor rgb="00FFB68D"/>
        <bgColor rgb="00FFB68D"/>
      </patternFill>
    </fill>
    <fill>
      <patternFill patternType="solid">
        <fgColor rgb="00181C22"/>
        <bgColor rgb="00181C22"/>
      </patternFill>
    </fill>
    <fill>
      <patternFill patternType="solid">
        <fgColor rgb="00F4F8FA"/>
        <bgColor rgb="00F4F8FA"/>
      </patternFill>
    </fill>
  </fills>
  <borders count="15">
    <border>
      <left/>
      <right/>
      <top/>
      <bottom/>
      <diagonal/>
    </border>
    <border>
      <left style="thin">
        <color rgb="00D5DEE3"/>
      </left>
      <right style="thin">
        <color rgb="00D5DEE3"/>
      </right>
      <top style="thin">
        <color rgb="00D5DEE3"/>
      </top>
      <bottom style="thin">
        <color rgb="00D5DEE3"/>
      </bottom>
    </border>
    <border>
      <bottom style="medium">
        <color rgb="0045DEED"/>
      </bottom>
    </border>
    <border>
      <left style="thin">
        <color rgb="00D5DEE3"/>
      </left>
      <right style="thin">
        <color rgb="00D5DEE3"/>
      </right>
      <bottom style="thin">
        <color rgb="00D5DEE3"/>
      </bottom>
    </border>
    <border>
      <bottom style="thin">
        <color rgb="00D5DEE3"/>
      </bottom>
    </border>
    <border>
      <top style="medium">
        <color rgb="0012334D"/>
      </top>
    </border>
    <border>
      <bottom style="medium">
        <color rgb="00FFB68D"/>
      </bottom>
    </border>
    <border>
      <left style="thin">
        <color rgb="0045DEED"/>
      </left>
      <right style="thin">
        <color rgb="0045DEED"/>
      </right>
      <top style="thin">
        <color rgb="0045DEED"/>
      </top>
      <bottom style="thin">
        <color rgb="0045DEED"/>
      </bottom>
    </border>
    <border>
      <left style="thin">
        <color rgb="00FFB68D"/>
      </left>
      <right style="thin">
        <color rgb="00FFB68D"/>
      </right>
      <top style="thin">
        <color rgb="00FFB68D"/>
      </top>
      <bottom style="thin">
        <color rgb="00FFB68D"/>
      </bottom>
    </border>
    <border>
      <bottom style="thin">
        <color rgb="00262A31"/>
      </bottom>
    </border>
    <border>
      <left style="thick">
        <color rgb="0010141A"/>
      </left>
    </border>
    <border/>
    <border>
      <right style="thick">
        <color rgb="0010141A"/>
      </right>
    </border>
    <border>
      <left style="thick">
        <color rgb="0010141A"/>
      </left>
      <right style="thick">
        <color rgb="0010141A"/>
      </right>
    </border>
    <border>
      <left/>
      <right style="thick">
        <color rgb="0010141A"/>
      </right>
      <top/>
      <bottom/>
      <diagonal/>
    </border>
  </borders>
  <cellStyleXfs count="1">
    <xf numFmtId="0" fontId="0" fillId="0" borderId="0"/>
  </cellStyleXfs>
  <cellXfs count="104">
    <xf numFmtId="0" fontId="0" fillId="0" borderId="0" pivotButton="0" quotePrefix="0" xfId="0"/>
    <xf numFmtId="0" fontId="0" fillId="2" borderId="0" pivotButton="0" quotePrefix="0" xfId="0"/>
    <xf numFmtId="0" fontId="14" fillId="9" borderId="0" applyAlignment="1" pivotButton="0" quotePrefix="0" xfId="0">
      <alignment horizontal="center" vertical="center"/>
    </xf>
    <xf numFmtId="0" fontId="0" fillId="9" borderId="0" pivotButton="0" quotePrefix="0" xfId="0"/>
    <xf numFmtId="0" fontId="15" fillId="2" borderId="0" applyAlignment="1" pivotButton="0" quotePrefix="0" xfId="0">
      <alignment vertical="center" indent="1"/>
    </xf>
    <xf numFmtId="0" fontId="7" fillId="2" borderId="0" applyAlignment="1" pivotButton="0" quotePrefix="0" xfId="0">
      <alignment horizontal="right" vertical="center" indent="1"/>
    </xf>
    <xf numFmtId="0" fontId="18" fillId="6" borderId="7" applyAlignment="1" pivotButton="0" quotePrefix="0" xfId="0">
      <alignment horizontal="center" vertical="center"/>
    </xf>
    <xf numFmtId="0" fontId="0" fillId="6" borderId="7" pivotButton="0" quotePrefix="0" xfId="0"/>
    <xf numFmtId="0" fontId="19" fillId="10" borderId="8" applyAlignment="1" pivotButton="0" quotePrefix="0" xfId="0">
      <alignment horizontal="center" vertical="center"/>
    </xf>
    <xf numFmtId="0" fontId="0" fillId="10" borderId="8" pivotButton="0" quotePrefix="0" xfId="0"/>
    <xf numFmtId="0" fontId="16" fillId="2" borderId="0" applyAlignment="1" pivotButton="0" quotePrefix="0" xfId="0">
      <alignment vertical="center" indent="1"/>
    </xf>
    <xf numFmtId="165" fontId="20" fillId="2" borderId="0" applyAlignment="1" pivotButton="0" quotePrefix="0" xfId="0">
      <alignment horizontal="center" vertical="center"/>
    </xf>
    <xf numFmtId="0" fontId="21" fillId="2" borderId="0" applyAlignment="1" pivotButton="0" quotePrefix="0" xfId="0">
      <alignment horizontal="center" vertical="center"/>
    </xf>
    <xf numFmtId="0" fontId="17" fillId="2" borderId="0" applyAlignment="1" pivotButton="0" quotePrefix="0" xfId="0">
      <alignment vertical="center" indent="1"/>
    </xf>
    <xf numFmtId="0" fontId="22" fillId="2" borderId="0" applyAlignment="1" pivotButton="0" quotePrefix="0" xfId="0">
      <alignment horizontal="left" vertical="center" indent="1"/>
    </xf>
    <xf numFmtId="0" fontId="0" fillId="2" borderId="9" pivotButton="0" quotePrefix="0" xfId="0"/>
    <xf numFmtId="0" fontId="0" fillId="9" borderId="10" pivotButton="0" quotePrefix="0" xfId="0"/>
    <xf numFmtId="0" fontId="0" fillId="9" borderId="11" pivotButton="0" quotePrefix="0" xfId="0"/>
    <xf numFmtId="0" fontId="0" fillId="9" borderId="12" pivotButton="0" quotePrefix="0" xfId="0"/>
    <xf numFmtId="0" fontId="0" fillId="11" borderId="10" pivotButton="0" quotePrefix="0" xfId="0"/>
    <xf numFmtId="0" fontId="0" fillId="11" borderId="11" pivotButton="0" quotePrefix="0" xfId="0"/>
    <xf numFmtId="0" fontId="0" fillId="11" borderId="12" pivotButton="0" quotePrefix="0" xfId="0"/>
    <xf numFmtId="0" fontId="0" fillId="12" borderId="10" pivotButton="0" quotePrefix="0" xfId="0"/>
    <xf numFmtId="0" fontId="0" fillId="12" borderId="11" pivotButton="0" quotePrefix="0" xfId="0"/>
    <xf numFmtId="0" fontId="0" fillId="12" borderId="12" pivotButton="0" quotePrefix="0" xfId="0"/>
    <xf numFmtId="0" fontId="0" fillId="13" borderId="10" pivotButton="0" quotePrefix="0" xfId="0"/>
    <xf numFmtId="0" fontId="0" fillId="13" borderId="11" pivotButton="0" quotePrefix="0" xfId="0"/>
    <xf numFmtId="0" fontId="0" fillId="13" borderId="12" pivotButton="0" quotePrefix="0" xfId="0"/>
    <xf numFmtId="0" fontId="23" fillId="5" borderId="13" applyAlignment="1" pivotButton="0" quotePrefix="0" xfId="0">
      <alignment vertical="bottom" indent="1"/>
    </xf>
    <xf numFmtId="0" fontId="0" fillId="0" borderId="14" pivotButton="0" quotePrefix="0" xfId="0"/>
    <xf numFmtId="3" fontId="24" fillId="5" borderId="13" applyAlignment="1" pivotButton="0" quotePrefix="0" xfId="0">
      <alignment horizontal="left" vertical="center" indent="1"/>
    </xf>
    <xf numFmtId="170" fontId="24" fillId="5" borderId="13" applyAlignment="1" pivotButton="0" quotePrefix="0" xfId="0">
      <alignment horizontal="left" vertical="center" indent="1"/>
    </xf>
    <xf numFmtId="3" fontId="26" fillId="5" borderId="13" applyAlignment="1" pivotButton="0" quotePrefix="0" xfId="0">
      <alignment horizontal="left" vertical="center" indent="1"/>
    </xf>
    <xf numFmtId="0" fontId="25" fillId="5" borderId="13" applyAlignment="1" pivotButton="0" quotePrefix="0" xfId="0">
      <alignment vertical="top" indent="1"/>
    </xf>
    <xf numFmtId="0" fontId="27" fillId="2" borderId="2" applyAlignment="1" pivotButton="0" quotePrefix="0" xfId="0">
      <alignment vertical="center"/>
    </xf>
    <xf numFmtId="0" fontId="0" fillId="0" borderId="2" pivotButton="0" quotePrefix="0" xfId="0"/>
    <xf numFmtId="0" fontId="27" fillId="2" borderId="6" applyAlignment="1" pivotButton="0" quotePrefix="0" xfId="0">
      <alignment vertical="center"/>
    </xf>
    <xf numFmtId="0" fontId="0" fillId="0" borderId="6" pivotButton="0" quotePrefix="0" xfId="0"/>
    <xf numFmtId="0" fontId="23" fillId="6" borderId="0" applyAlignment="1" pivotButton="0" quotePrefix="0" xfId="0">
      <alignment horizontal="center" vertical="center"/>
    </xf>
    <xf numFmtId="0" fontId="23" fillId="6" borderId="0" applyAlignment="1" pivotButton="0" quotePrefix="0" xfId="0">
      <alignment horizontal="left" vertical="center" indent="1"/>
    </xf>
    <xf numFmtId="0" fontId="0" fillId="6" borderId="0" pivotButton="0" quotePrefix="0" xfId="0"/>
    <xf numFmtId="0" fontId="28" fillId="5" borderId="9" applyAlignment="1" pivotButton="0" quotePrefix="0" xfId="0">
      <alignment horizontal="center" vertical="center"/>
    </xf>
    <xf numFmtId="0" fontId="28" fillId="5" borderId="9" applyAlignment="1" pivotButton="0" quotePrefix="0" xfId="0">
      <alignment horizontal="left" vertical="center" indent="1"/>
    </xf>
    <xf numFmtId="0" fontId="0" fillId="5" borderId="9" pivotButton="0" quotePrefix="0" xfId="0"/>
    <xf numFmtId="3" fontId="28" fillId="5" borderId="9" applyAlignment="1" pivotButton="0" quotePrefix="0" xfId="0">
      <alignment horizontal="center" vertical="center"/>
    </xf>
    <xf numFmtId="165" fontId="28" fillId="5" borderId="9" applyAlignment="1" pivotButton="0" quotePrefix="0" xfId="0">
      <alignment horizontal="center" vertical="center"/>
    </xf>
    <xf numFmtId="0" fontId="28" fillId="14" borderId="9" applyAlignment="1" pivotButton="0" quotePrefix="0" xfId="0">
      <alignment horizontal="center" vertical="center"/>
    </xf>
    <xf numFmtId="0" fontId="28" fillId="14" borderId="9" applyAlignment="1" pivotButton="0" quotePrefix="0" xfId="0">
      <alignment horizontal="left" vertical="center" indent="1"/>
    </xf>
    <xf numFmtId="0" fontId="0" fillId="14" borderId="9" pivotButton="0" quotePrefix="0" xfId="0"/>
    <xf numFmtId="3" fontId="28" fillId="14" borderId="9" applyAlignment="1" pivotButton="0" quotePrefix="0" xfId="0">
      <alignment horizontal="center" vertical="center"/>
    </xf>
    <xf numFmtId="165" fontId="28" fillId="14" borderId="9" applyAlignment="1" pivotButton="0" quotePrefix="0" xfId="0">
      <alignment horizontal="center" vertical="center"/>
    </xf>
    <xf numFmtId="0" fontId="22" fillId="2" borderId="0" applyAlignment="1" pivotButton="0" quotePrefix="0" xfId="0">
      <alignment horizontal="center" vertical="center"/>
    </xf>
    <xf numFmtId="0" fontId="1" fillId="2" borderId="0" applyAlignment="1" pivotButton="0" quotePrefix="0" xfId="0">
      <alignment vertical="center" indent="1"/>
    </xf>
    <xf numFmtId="0" fontId="2" fillId="2" borderId="0" applyAlignment="1" pivotButton="0" quotePrefix="0" xfId="0">
      <alignment vertical="center" indent="1"/>
    </xf>
    <xf numFmtId="0" fontId="3" fillId="0" borderId="0" applyAlignment="1" pivotButton="0" quotePrefix="0" xfId="0">
      <alignment vertical="center" indent="1"/>
    </xf>
    <xf numFmtId="0" fontId="4" fillId="3" borderId="1" applyAlignment="1" pivotButton="0" quotePrefix="0" xfId="0">
      <alignment vertical="center" indent="1"/>
    </xf>
    <xf numFmtId="0" fontId="4" fillId="4" borderId="1" applyAlignment="1" pivotButton="0" quotePrefix="0" xfId="0">
      <alignment vertical="center" indent="1"/>
    </xf>
    <xf numFmtId="0" fontId="5" fillId="5" borderId="2" applyAlignment="1" pivotButton="0" quotePrefix="0" xfId="0">
      <alignment horizontal="center" vertical="center" wrapText="1"/>
    </xf>
    <xf numFmtId="0" fontId="6" fillId="3" borderId="3" applyAlignment="1" pivotButton="0" quotePrefix="0" xfId="0">
      <alignment horizontal="center" vertical="center"/>
    </xf>
    <xf numFmtId="0" fontId="6" fillId="3" borderId="3" applyAlignment="1" pivotButton="0" quotePrefix="0" xfId="0">
      <alignment horizontal="general" vertical="center"/>
    </xf>
    <xf numFmtId="164" fontId="6" fillId="3" borderId="3" applyAlignment="1" pivotButton="0" quotePrefix="0" xfId="0">
      <alignment horizontal="general" vertical="center"/>
    </xf>
    <xf numFmtId="3" fontId="6" fillId="3" borderId="3" applyAlignment="1" pivotButton="0" quotePrefix="0" xfId="0">
      <alignment horizontal="center" vertical="center"/>
    </xf>
    <xf numFmtId="0" fontId="9" fillId="2" borderId="0" applyAlignment="1" pivotButton="0" quotePrefix="0" xfId="0">
      <alignment horizontal="right" vertical="center"/>
    </xf>
    <xf numFmtId="0" fontId="10" fillId="2" borderId="0" applyAlignment="1" pivotButton="0" quotePrefix="0" xfId="0">
      <alignment horizontal="center" vertical="center"/>
    </xf>
    <xf numFmtId="0" fontId="7" fillId="6" borderId="2" applyAlignment="1" pivotButton="0" quotePrefix="0" xfId="0">
      <alignment horizontal="center" vertical="center" wrapText="1"/>
    </xf>
    <xf numFmtId="165" fontId="6" fillId="3" borderId="3" applyAlignment="1" pivotButton="0" quotePrefix="0" xfId="0">
      <alignment horizontal="center" vertical="center"/>
    </xf>
    <xf numFmtId="0" fontId="8" fillId="4" borderId="3" applyAlignment="1" pivotButton="0" quotePrefix="0" xfId="0">
      <alignment horizontal="general" vertical="center"/>
    </xf>
    <xf numFmtId="3" fontId="8" fillId="4" borderId="3" applyAlignment="1" pivotButton="0" quotePrefix="0" xfId="0">
      <alignment horizontal="center" vertical="center"/>
    </xf>
    <xf numFmtId="166" fontId="8" fillId="4" borderId="3" applyAlignment="1" pivotButton="0" quotePrefix="0" xfId="0">
      <alignment horizontal="general" vertical="center"/>
    </xf>
    <xf numFmtId="0" fontId="8" fillId="4" borderId="3" applyAlignment="1" pivotButton="0" quotePrefix="0" xfId="0">
      <alignment horizontal="center" vertical="center"/>
    </xf>
    <xf numFmtId="164" fontId="8" fillId="4" borderId="3" applyAlignment="1" pivotButton="0" quotePrefix="0" xfId="0">
      <alignment horizontal="general" vertical="center"/>
    </xf>
    <xf numFmtId="9" fontId="8" fillId="4" borderId="3" applyAlignment="1" pivotButton="0" quotePrefix="0" xfId="0">
      <alignment horizontal="center" vertical="center"/>
    </xf>
    <xf numFmtId="0" fontId="13" fillId="2" borderId="6" pivotButton="0" quotePrefix="0" xfId="0"/>
    <xf numFmtId="0" fontId="0" fillId="2" borderId="6" pivotButton="0" quotePrefix="0" xfId="0"/>
    <xf numFmtId="0" fontId="11" fillId="0" borderId="2" pivotButton="0" quotePrefix="0" xfId="0"/>
    <xf numFmtId="0" fontId="0" fillId="8" borderId="0" pivotButton="0" quotePrefix="0" xfId="0"/>
    <xf numFmtId="0" fontId="5" fillId="5" borderId="0" applyAlignment="1" pivotButton="0" quotePrefix="0" xfId="0">
      <alignment horizontal="center" vertical="center" wrapText="1"/>
    </xf>
    <xf numFmtId="0" fontId="8" fillId="3" borderId="4" applyAlignment="1" pivotButton="0" quotePrefix="0" xfId="0">
      <alignment horizontal="left" vertical="center"/>
    </xf>
    <xf numFmtId="165" fontId="8" fillId="3" borderId="4" applyAlignment="1" pivotButton="0" quotePrefix="0" xfId="0">
      <alignment horizontal="center" vertical="center"/>
    </xf>
    <xf numFmtId="165" fontId="8" fillId="4" borderId="4" applyAlignment="1" pivotButton="0" quotePrefix="0" xfId="0">
      <alignment horizontal="center" vertical="center"/>
    </xf>
    <xf numFmtId="3" fontId="8" fillId="4" borderId="4" applyAlignment="1" pivotButton="0" quotePrefix="0" xfId="0">
      <alignment horizontal="center" vertical="center"/>
    </xf>
    <xf numFmtId="167" fontId="8" fillId="4" borderId="4" applyAlignment="1" pivotButton="0" quotePrefix="0" xfId="0">
      <alignment horizontal="center" vertical="center"/>
    </xf>
    <xf numFmtId="0" fontId="8" fillId="4" borderId="4" applyAlignment="1" pivotButton="0" quotePrefix="0" xfId="0">
      <alignment horizontal="center" vertical="center"/>
    </xf>
    <xf numFmtId="0" fontId="8" fillId="4" borderId="4" applyAlignment="1" pivotButton="0" quotePrefix="0" xfId="0">
      <alignment horizontal="left" vertical="center"/>
    </xf>
    <xf numFmtId="0" fontId="12" fillId="7" borderId="5" applyAlignment="1" pivotButton="0" quotePrefix="0" xfId="0">
      <alignment horizontal="left" vertical="center"/>
    </xf>
    <xf numFmtId="165" fontId="12" fillId="7" borderId="5" applyAlignment="1" pivotButton="0" quotePrefix="0" xfId="0">
      <alignment horizontal="center" vertical="center"/>
    </xf>
    <xf numFmtId="3" fontId="12" fillId="7" borderId="5" applyAlignment="1" pivotButton="0" quotePrefix="0" xfId="0">
      <alignment horizontal="center" vertical="center"/>
    </xf>
    <xf numFmtId="167" fontId="12" fillId="7" borderId="5" applyAlignment="1" pivotButton="0" quotePrefix="0" xfId="0">
      <alignment horizontal="center" vertical="center"/>
    </xf>
    <xf numFmtId="164" fontId="8" fillId="4" borderId="4" applyAlignment="1" pivotButton="0" quotePrefix="0" xfId="0">
      <alignment horizontal="center" vertical="center"/>
    </xf>
    <xf numFmtId="168" fontId="8" fillId="4" borderId="4" applyAlignment="1" pivotButton="0" quotePrefix="0" xfId="0">
      <alignment horizontal="center" vertical="center"/>
    </xf>
    <xf numFmtId="164" fontId="12" fillId="7" borderId="5" applyAlignment="1" pivotButton="0" quotePrefix="0" xfId="0">
      <alignment horizontal="center" vertical="center"/>
    </xf>
    <xf numFmtId="168" fontId="12" fillId="7" borderId="5" applyAlignment="1" pivotButton="0" quotePrefix="0" xfId="0">
      <alignment horizontal="center" vertical="center"/>
    </xf>
    <xf numFmtId="0" fontId="6" fillId="3" borderId="4" pivotButton="0" quotePrefix="0" xfId="0"/>
    <xf numFmtId="1" fontId="8" fillId="4" borderId="4" applyAlignment="1" pivotButton="0" quotePrefix="0" xfId="0">
      <alignment horizontal="center" vertical="center"/>
    </xf>
    <xf numFmtId="169" fontId="8" fillId="4" borderId="4" applyAlignment="1" pivotButton="0" quotePrefix="0" xfId="0">
      <alignment horizontal="center" vertical="center"/>
    </xf>
    <xf numFmtId="0" fontId="29" fillId="2" borderId="0" applyAlignment="1" pivotButton="0" quotePrefix="0" xfId="0">
      <alignment vertical="center"/>
    </xf>
    <xf numFmtId="0" fontId="30" fillId="2" borderId="0" applyAlignment="1" pivotButton="0" quotePrefix="0" xfId="0">
      <alignment vertical="top"/>
    </xf>
    <xf numFmtId="0" fontId="0" fillId="3" borderId="0" pivotButton="0" quotePrefix="0" xfId="0"/>
    <xf numFmtId="0" fontId="31" fillId="3" borderId="2" applyAlignment="1" pivotButton="0" quotePrefix="0" xfId="0">
      <alignment vertical="center"/>
    </xf>
    <xf numFmtId="0" fontId="0" fillId="3" borderId="2" pivotButton="0" quotePrefix="0" xfId="0"/>
    <xf numFmtId="0" fontId="12" fillId="15" borderId="0" applyAlignment="1" pivotButton="0" quotePrefix="0" xfId="0">
      <alignment vertical="top" wrapText="1" indent="1"/>
    </xf>
    <xf numFmtId="0" fontId="6" fillId="15" borderId="0" applyAlignment="1" pivotButton="0" quotePrefix="0" xfId="0">
      <alignment vertical="top" wrapText="1"/>
    </xf>
    <xf numFmtId="0" fontId="12" fillId="3" borderId="0" applyAlignment="1" pivotButton="0" quotePrefix="0" xfId="0">
      <alignment vertical="top" wrapText="1" indent="1"/>
    </xf>
    <xf numFmtId="0" fontId="6" fillId="3" borderId="0" applyAlignment="1" pivotButton="0" quotePrefix="0" xfId="0">
      <alignment vertical="top" wrapText="1"/>
    </xf>
  </cellXfs>
  <cellStyles count="1">
    <cellStyle name="Normal" xfId="0" builtinId="0" hidden="0"/>
  </cellStyles>
  <dxfs count="10">
    <dxf>
      <font>
        <name val="Segoe UI"/>
        <b val="1"/>
        <color rgb="0016C79A"/>
      </font>
    </dxf>
    <dxf>
      <font>
        <name val="Segoe UI"/>
        <b val="1"/>
        <color rgb="00FF5B55"/>
      </font>
    </dxf>
    <dxf>
      <font>
        <name val="Segoe UI"/>
        <b val="1"/>
        <color rgb="00FFB68D"/>
      </font>
    </dxf>
    <dxf>
      <font>
        <name val="Segoe UI"/>
        <b val="1"/>
        <color rgb="0045DEED"/>
      </font>
    </dxf>
    <dxf>
      <font>
        <name val="Segoe UI"/>
        <b val="1"/>
        <color rgb="00B3261E"/>
      </font>
      <fill>
        <patternFill patternType="solid">
          <fgColor rgb="00FFD9D7"/>
          <bgColor rgb="00FFD9D7"/>
        </patternFill>
      </fill>
    </dxf>
    <dxf>
      <font>
        <name val="Segoe UI"/>
        <b val="1"/>
        <color rgb="00B3261E"/>
      </font>
    </dxf>
    <dxf>
      <font>
        <name val="Segoe UI"/>
        <b val="1"/>
        <color rgb="000B7A55"/>
      </font>
    </dxf>
    <dxf>
      <font>
        <name val="Segoe UI"/>
        <b val="1"/>
        <color rgb="00B54A00"/>
      </font>
    </dxf>
    <dxf>
      <font>
        <name val="Segoe UI"/>
        <b val="1"/>
        <color rgb="00B54A00"/>
      </font>
      <fill>
        <patternFill patternType="solid">
          <fgColor rgb="00FFE6D3"/>
          <bgColor rgb="00FFE6D3"/>
        </patternFill>
      </fill>
    </dxf>
    <dxf>
      <font>
        <name val="Segoe UI"/>
        <b val="1"/>
        <color rgb="000B7A55"/>
      </font>
      <fill>
        <patternFill patternType="solid">
          <fgColor rgb="00D5F5EA"/>
          <bgColor rgb="00D5F5E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roundedCorners val="0"/>
  <chart>
    <title>
      <tx>
        <rich>
          <a:bodyPr xmlns:a="http://schemas.openxmlformats.org/drawingml/2006/main"/>
          <a:p xmlns:a="http://schemas.openxmlformats.org/drawingml/2006/main">
            <a:pPr>
              <a:defRPr sz="1100" b="1">
                <a:solidFill>
                  <a:srgbClr val="DFE2EC"/>
                </a:solidFill>
                <a:latin typeface="Segoe UI"/>
              </a:defRPr>
            </a:pPr>
            <a:r>
              <a:rPr sz="1100" b="1">
                <a:solidFill>
                  <a:srgbClr val="DFE2EC"/>
                </a:solidFill>
                <a:latin typeface="Segoe UI"/>
              </a:rPr>
              <a:t>Entradas x Saídas por mês (unidades)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tx>
            <strRef>
              <f>'Relatórios'!D5</f>
            </strRef>
          </tx>
          <spPr>
            <a:solidFill xmlns:a="http://schemas.openxmlformats.org/drawingml/2006/main">
              <a:srgbClr val="45DEED"/>
            </a:solidFill>
            <a:ln xmlns:a="http://schemas.openxmlformats.org/drawingml/2006/main">
              <a:noFill/>
              <a:prstDash val="solid"/>
            </a:ln>
          </spPr>
          <dLbls>
            <txPr>
              <a:bodyPr xmlns:a="http://schemas.openxmlformats.org/drawingml/2006/main"/>
              <a:p xmlns:a="http://schemas.openxmlformats.org/drawingml/2006/main">
                <a:pPr>
                  <a:defRPr sz="800" b="1">
                    <a:solidFill>
                      <a:srgbClr val="45DEED"/>
                    </a:solidFill>
                    <a:latin typeface="Segoe UI"/>
                  </a:defRPr>
                </a:pPr>
                <a:r>
                  <a:t/>
                </a:r>
                <a:endParaRPr sz="800" b="1">
                  <a:solidFill>
                    <a:srgbClr val="45DEED"/>
                  </a:solidFill>
                  <a:latin typeface="Segoe UI"/>
                </a:endParaRPr>
              </a:p>
            </txPr>
            <showLegendKey val="0"/>
            <showVal val="1"/>
            <showCatName val="0"/>
            <showSerName val="0"/>
            <showPercent val="0"/>
          </dLbls>
          <cat>
            <numRef>
              <f>'Relatórios'!$A$6:$A$11</f>
            </numRef>
          </cat>
          <val>
            <numRef>
              <f>'Relatórios'!$D$6:$D$11</f>
            </numRef>
          </val>
        </ser>
        <ser>
          <idx val="1"/>
          <order val="1"/>
          <tx>
            <strRef>
              <f>'Relatórios'!E5</f>
            </strRef>
          </tx>
          <spPr>
            <a:solidFill xmlns:a="http://schemas.openxmlformats.org/drawingml/2006/main">
              <a:srgbClr val="FFB68D"/>
            </a:solidFill>
            <a:ln xmlns:a="http://schemas.openxmlformats.org/drawingml/2006/main">
              <a:noFill/>
              <a:prstDash val="solid"/>
            </a:ln>
          </spPr>
          <dLbls>
            <txPr>
              <a:bodyPr xmlns:a="http://schemas.openxmlformats.org/drawingml/2006/main"/>
              <a:p xmlns:a="http://schemas.openxmlformats.org/drawingml/2006/main">
                <a:pPr>
                  <a:defRPr sz="800" b="1">
                    <a:solidFill>
                      <a:srgbClr val="FFB68D"/>
                    </a:solidFill>
                    <a:latin typeface="Segoe UI"/>
                  </a:defRPr>
                </a:pPr>
                <a:r>
                  <a:t/>
                </a:r>
                <a:endParaRPr sz="800" b="1">
                  <a:solidFill>
                    <a:srgbClr val="FFB68D"/>
                  </a:solidFill>
                  <a:latin typeface="Segoe UI"/>
                </a:endParaRPr>
              </a:p>
            </txPr>
            <showLegendKey val="0"/>
            <showVal val="1"/>
            <showCatName val="0"/>
            <showSerName val="0"/>
            <showPercent val="0"/>
          </dLbls>
          <cat>
            <numRef>
              <f>'Relatórios'!$A$6:$A$11</f>
            </numRef>
          </cat>
          <val>
            <numRef>
              <f>'Relatórios'!$E$6:$E$11</f>
            </numRef>
          </val>
        </ser>
        <gapWidth val="60"/>
        <overlap val="-1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spPr>
          <a:ln xmlns:a="http://schemas.openxmlformats.org/drawingml/2006/main">
            <a:solidFill>
              <a:srgbClr val="3C494B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850" b="0">
                <a:solidFill>
                  <a:srgbClr val="BBC9CB"/>
                </a:solidFill>
                <a:latin typeface="Segoe UI"/>
              </a:defRPr>
            </a:pPr>
            <a:r>
              <a:t/>
            </a:r>
            <a:endParaRPr sz="850" b="0">
              <a:solidFill>
                <a:srgbClr val="BBC9CB"/>
              </a:solidFill>
              <a:latin typeface="Segoe UI"/>
            </a:endParaRPr>
          </a:p>
        </txPr>
        <crossAx val="100"/>
        <lblOffset val="100"/>
      </catAx>
      <valAx>
        <axId val="10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2A3038"/>
              </a:solidFill>
              <a:prstDash val="solid"/>
            </a:ln>
          </spPr>
        </majorGridlines>
        <numFmt formatCode="#,##0" sourceLinked="0"/>
        <majorTickMark val="none"/>
        <minorTickMark val="none"/>
        <spPr>
          <a:ln xmlns:a="http://schemas.openxmlformats.org/drawingml/2006/main">
            <a:noFill/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850" b="0">
                <a:solidFill>
                  <a:srgbClr val="BBC9CB"/>
                </a:solidFill>
                <a:latin typeface="Segoe UI"/>
              </a:defRPr>
            </a:pPr>
            <a:r>
              <a:t/>
            </a:r>
            <a:endParaRPr sz="850" b="0">
              <a:solidFill>
                <a:srgbClr val="BBC9CB"/>
              </a:solidFill>
              <a:latin typeface="Segoe UI"/>
            </a:endParaRPr>
          </a:p>
        </txPr>
        <crossAx val="10"/>
      </valAx>
      <spPr>
        <a:noFill xmlns:a="http://schemas.openxmlformats.org/drawingml/2006/main"/>
        <a:ln xmlns:a="http://schemas.openxmlformats.org/drawingml/2006/main">
          <a:noFill/>
          <a:prstDash val="solid"/>
        </a:ln>
      </spPr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900" b="0">
              <a:solidFill>
                <a:srgbClr val="BBC9CB"/>
              </a:solidFill>
              <a:latin typeface="Segoe UI"/>
            </a:defRPr>
          </a:pPr>
          <a:r>
            <a:t/>
          </a:r>
          <a:endParaRPr sz="900" b="0">
            <a:solidFill>
              <a:srgbClr val="BBC9CB"/>
            </a:solidFill>
            <a:latin typeface="Segoe UI"/>
          </a:endParaRPr>
        </a:p>
      </txPr>
    </legend>
    <plotVisOnly val="1"/>
    <dispBlanksAs val="gap"/>
  </chart>
  <spPr>
    <a:solidFill xmlns:a="http://schemas.openxmlformats.org/drawingml/2006/main">
      <a:srgbClr val="1C2026"/>
    </a:solidFill>
    <a:ln xmlns:a="http://schemas.openxmlformats.org/drawingml/2006/main">
      <a:solidFill>
        <a:srgbClr val="262A31"/>
      </a:solidFill>
      <a:prstDash val="solid"/>
    </a:ln>
  </spPr>
</chartSpace>
</file>

<file path=xl/charts/chart2.xml><?xml version="1.0" encoding="utf-8"?>
<chartSpace xmlns="http://schemas.openxmlformats.org/drawingml/2006/chart">
  <roundedCorners val="0"/>
  <chart>
    <title>
      <tx>
        <rich>
          <a:bodyPr xmlns:a="http://schemas.openxmlformats.org/drawingml/2006/main"/>
          <a:p xmlns:a="http://schemas.openxmlformats.org/drawingml/2006/main">
            <a:pPr>
              <a:defRPr sz="1100" b="1">
                <a:solidFill>
                  <a:srgbClr val="DFE2EC"/>
                </a:solidFill>
                <a:latin typeface="Segoe UI"/>
              </a:defRPr>
            </a:pPr>
            <a:r>
              <a:rPr sz="1100" b="1">
                <a:solidFill>
                  <a:srgbClr val="DFE2EC"/>
                </a:solidFill>
                <a:latin typeface="Segoe UI"/>
              </a:rPr>
              <a:t>Valor do estoque por categoria</a:t>
            </a:r>
          </a:p>
        </rich>
      </tx>
      <overlay val="0"/>
    </title>
    <plotArea>
      <doughnutChart>
        <varyColors val="1"/>
        <ser>
          <idx val="0"/>
          <order val="0"/>
          <tx>
            <strRef>
              <f>'Relatórios'!C16</f>
            </strRef>
          </tx>
          <spPr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45DEED"/>
              </a:solidFill>
              <a:ln xmlns:a="http://schemas.openxmlformats.org/drawingml/2006/main" w="19050">
                <a:solidFill>
                  <a:srgbClr val="1C2026"/>
                </a:solidFill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FFB68D"/>
              </a:solidFill>
              <a:ln xmlns:a="http://schemas.openxmlformats.org/drawingml/2006/main" w="19050">
                <a:solidFill>
                  <a:srgbClr val="1C2026"/>
                </a:solidFill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16C79A"/>
              </a:solidFill>
              <a:ln xmlns:a="http://schemas.openxmlformats.org/drawingml/2006/main" w="19050">
                <a:solidFill>
                  <a:srgbClr val="1C2026"/>
                </a:solidFill>
                <a:prstDash val="solid"/>
              </a:ln>
            </spPr>
          </dPt>
          <dPt>
            <idx val="3"/>
            <spPr>
              <a:solidFill xmlns:a="http://schemas.openxmlformats.org/drawingml/2006/main">
                <a:srgbClr val="00A3B4"/>
              </a:solidFill>
              <a:ln xmlns:a="http://schemas.openxmlformats.org/drawingml/2006/main" w="19050">
                <a:solidFill>
                  <a:srgbClr val="1C2026"/>
                </a:solidFill>
                <a:prstDash val="solid"/>
              </a:ln>
            </spPr>
          </dPt>
          <dPt>
            <idx val="4"/>
            <spPr>
              <a:solidFill xmlns:a="http://schemas.openxmlformats.org/drawingml/2006/main">
                <a:srgbClr val="E88A52"/>
              </a:solidFill>
              <a:ln xmlns:a="http://schemas.openxmlformats.org/drawingml/2006/main" w="19050">
                <a:solidFill>
                  <a:srgbClr val="1C2026"/>
                </a:solidFill>
                <a:prstDash val="solid"/>
              </a:ln>
            </spPr>
          </dPt>
          <dPt>
            <idx val="5"/>
            <spPr>
              <a:solidFill xmlns:a="http://schemas.openxmlformats.org/drawingml/2006/main">
                <a:srgbClr val="88F3FF"/>
              </a:solidFill>
              <a:ln xmlns:a="http://schemas.openxmlformats.org/drawingml/2006/main" w="19050">
                <a:solidFill>
                  <a:srgbClr val="1C2026"/>
                </a:solidFill>
                <a:prstDash val="solid"/>
              </a:ln>
            </spPr>
          </dPt>
          <dPt>
            <idx val="6"/>
            <spPr>
              <a:solidFill xmlns:a="http://schemas.openxmlformats.org/drawingml/2006/main">
                <a:srgbClr val="859395"/>
              </a:solidFill>
              <a:ln xmlns:a="http://schemas.openxmlformats.org/drawingml/2006/main" w="19050">
                <a:solidFill>
                  <a:srgbClr val="1C2026"/>
                </a:solidFill>
                <a:prstDash val="solid"/>
              </a:ln>
            </spPr>
          </dPt>
          <dLbls>
            <numFmt formatCode="0%"/>
            <txPr>
              <a:bodyPr xmlns:a="http://schemas.openxmlformats.org/drawingml/2006/main"/>
              <a:p xmlns:a="http://schemas.openxmlformats.org/drawingml/2006/main">
                <a:pPr>
                  <a:defRPr sz="800" b="1">
                    <a:solidFill>
                      <a:srgbClr val="10141A"/>
                    </a:solidFill>
                    <a:latin typeface="Segoe UI"/>
                  </a:defRPr>
                </a:pPr>
                <a:r>
                  <a:t/>
                </a:r>
                <a:endParaRPr sz="800" b="1">
                  <a:solidFill>
                    <a:srgbClr val="10141A"/>
                  </a:solidFill>
                  <a:latin typeface="Segoe UI"/>
                </a:endParaRPr>
              </a:p>
            </txPr>
            <showLegendKey val="0"/>
            <showVal val="0"/>
            <showCatName val="0"/>
            <showSerName val="0"/>
            <showPercent val="1"/>
          </dLbls>
          <cat>
            <numRef>
              <f>'Relatórios'!$A$17:$A$23</f>
            </numRef>
          </cat>
          <val>
            <numRef>
              <f>'Relatórios'!$C$17:$C$23</f>
            </numRef>
          </val>
        </ser>
        <firstSliceAng val="0"/>
        <holeSize val="58"/>
      </doughnutChart>
      <spPr>
        <a:noFill xmlns:a="http://schemas.openxmlformats.org/drawingml/2006/main"/>
        <a:ln xmlns:a="http://schemas.openxmlformats.org/drawingml/2006/main">
          <a:noFill/>
          <a:prstDash val="solid"/>
        </a:ln>
      </spPr>
    </plotArea>
    <legend>
      <legendPos val="r"/>
      <layout>
        <manualLayout>
          <xMode val="edge"/>
          <yMode val="edge"/>
          <wMode val="factor"/>
          <hMode val="factor"/>
          <x val="0.62"/>
          <y val="0.25"/>
          <w val="0.37"/>
          <h val="0.6"/>
        </manualLayout>
      </layout>
      <overlay val="0"/>
      <txPr>
        <a:bodyPr xmlns:a="http://schemas.openxmlformats.org/drawingml/2006/main"/>
        <a:p xmlns:a="http://schemas.openxmlformats.org/drawingml/2006/main">
          <a:pPr>
            <a:defRPr sz="900" b="0">
              <a:solidFill>
                <a:srgbClr val="BBC9CB"/>
              </a:solidFill>
              <a:latin typeface="Segoe UI"/>
            </a:defRPr>
          </a:pPr>
          <a:r>
            <a:t/>
          </a:r>
          <a:endParaRPr sz="900" b="0">
            <a:solidFill>
              <a:srgbClr val="BBC9CB"/>
            </a:solidFill>
            <a:latin typeface="Segoe UI"/>
          </a:endParaRPr>
        </a:p>
      </txPr>
    </legend>
    <plotVisOnly val="1"/>
    <dispBlanksAs val="gap"/>
  </chart>
  <spPr>
    <a:solidFill xmlns:a="http://schemas.openxmlformats.org/drawingml/2006/main">
      <a:srgbClr val="1C2026"/>
    </a:solidFill>
    <a:ln xmlns:a="http://schemas.openxmlformats.org/drawingml/2006/main">
      <a:solidFill>
        <a:srgbClr val="262A31"/>
      </a:solidFill>
      <a:prstDash val="solid"/>
    </a:ln>
  </spPr>
</chartSpace>
</file>

<file path=xl/charts/chart3.xml><?xml version="1.0" encoding="utf-8"?>
<chartSpace xmlns="http://schemas.openxmlformats.org/drawingml/2006/chart">
  <roundedCorners val="0"/>
  <chart>
    <title>
      <tx>
        <rich>
          <a:bodyPr xmlns:a="http://schemas.openxmlformats.org/drawingml/2006/main"/>
          <a:p xmlns:a="http://schemas.openxmlformats.org/drawingml/2006/main">
            <a:pPr>
              <a:defRPr sz="1100" b="1">
                <a:solidFill>
                  <a:srgbClr val="DFE2EC"/>
                </a:solidFill>
                <a:latin typeface="Segoe UI"/>
              </a:defRPr>
            </a:pPr>
            <a:r>
              <a:rPr sz="1100" b="1">
                <a:solidFill>
                  <a:srgbClr val="DFE2EC"/>
                </a:solidFill>
                <a:latin typeface="Segoe UI"/>
              </a:rPr>
              <a:t>Produtos para repor · quantidade sugerida</a:t>
            </a:r>
          </a:p>
        </rich>
      </tx>
      <overlay val="0"/>
    </title>
    <plotArea>
      <barChart>
        <barDir val="bar"/>
        <grouping val="clustered"/>
        <ser>
          <idx val="0"/>
          <order val="0"/>
          <tx>
            <strRef>
              <f>'Relatórios'!R5</f>
            </strRef>
          </tx>
          <spPr>
            <a:solidFill xmlns:a="http://schemas.openxmlformats.org/drawingml/2006/main">
              <a:srgbClr val="FFB68D"/>
            </a:solidFill>
            <a:ln xmlns:a="http://schemas.openxmlformats.org/drawingml/2006/main">
              <a:noFill/>
              <a:prstDash val="solid"/>
            </a:ln>
          </spPr>
          <dLbls>
            <txPr>
              <a:bodyPr xmlns:a="http://schemas.openxmlformats.org/drawingml/2006/main"/>
              <a:p xmlns:a="http://schemas.openxmlformats.org/drawingml/2006/main">
                <a:pPr>
                  <a:defRPr sz="800" b="1">
                    <a:solidFill>
                      <a:srgbClr val="FFB68D"/>
                    </a:solidFill>
                    <a:latin typeface="Segoe UI"/>
                  </a:defRPr>
                </a:pPr>
                <a:r>
                  <a:t/>
                </a:r>
                <a:endParaRPr sz="800" b="1">
                  <a:solidFill>
                    <a:srgbClr val="FFB68D"/>
                  </a:solidFill>
                  <a:latin typeface="Segoe UI"/>
                </a:endParaRPr>
              </a:p>
            </txPr>
            <showLegendKey val="0"/>
            <showVal val="1"/>
            <showCatName val="0"/>
            <showSerName val="0"/>
            <showPercent val="0"/>
          </dLbls>
          <cat>
            <numRef>
              <f>'Relatórios'!$O$6:$O$13</f>
            </numRef>
          </cat>
          <val>
            <numRef>
              <f>'Relatórios'!$R$6:$R$13</f>
            </numRef>
          </val>
        </ser>
        <gapWidth val="5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spPr>
          <a:ln xmlns:a="http://schemas.openxmlformats.org/drawingml/2006/main">
            <a:solidFill>
              <a:srgbClr val="3C494B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850" b="0">
                <a:solidFill>
                  <a:srgbClr val="BBC9CB"/>
                </a:solidFill>
                <a:latin typeface="Segoe UI"/>
              </a:defRPr>
            </a:pPr>
            <a:r>
              <a:t/>
            </a:r>
            <a:endParaRPr sz="850" b="0">
              <a:solidFill>
                <a:srgbClr val="BBC9CB"/>
              </a:solidFill>
              <a:latin typeface="Segoe UI"/>
            </a:endParaRPr>
          </a:p>
        </txPr>
        <crossAx val="100"/>
        <lblOffset val="100"/>
      </catAx>
      <valAx>
        <axId val="10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2A3038"/>
              </a:solidFill>
              <a:prstDash val="solid"/>
            </a:ln>
          </spPr>
        </majorGridlines>
        <numFmt formatCode="#,##0" sourceLinked="0"/>
        <majorTickMark val="none"/>
        <minorTickMark val="none"/>
        <spPr>
          <a:ln xmlns:a="http://schemas.openxmlformats.org/drawingml/2006/main">
            <a:noFill/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850" b="0">
                <a:solidFill>
                  <a:srgbClr val="BBC9CB"/>
                </a:solidFill>
                <a:latin typeface="Segoe UI"/>
              </a:defRPr>
            </a:pPr>
            <a:r>
              <a:t/>
            </a:r>
            <a:endParaRPr sz="850" b="0">
              <a:solidFill>
                <a:srgbClr val="BBC9CB"/>
              </a:solidFill>
              <a:latin typeface="Segoe UI"/>
            </a:endParaRPr>
          </a:p>
        </txPr>
        <crossAx val="10"/>
        <crosses val="max"/>
      </valAx>
      <spPr>
        <a:noFill xmlns:a="http://schemas.openxmlformats.org/drawingml/2006/main"/>
        <a:ln xmlns:a="http://schemas.openxmlformats.org/drawingml/2006/main">
          <a:noFill/>
          <a:prstDash val="solid"/>
        </a:ln>
      </spPr>
    </plotArea>
    <plotVisOnly val="1"/>
    <dispBlanksAs val="gap"/>
  </chart>
  <spPr>
    <a:solidFill xmlns:a="http://schemas.openxmlformats.org/drawingml/2006/main">
      <a:srgbClr val="1C2026"/>
    </a:solidFill>
    <a:ln xmlns:a="http://schemas.openxmlformats.org/drawingml/2006/main">
      <a:solidFill>
        <a:srgbClr val="262A31"/>
      </a:solidFill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1</col>
      <colOff>0</colOff>
      <row>10</row>
      <rowOff>0</rowOff>
    </from>
    <ext cx="5256000" cy="4176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10</row>
      <rowOff>0</rowOff>
    </from>
    <ext cx="5256000" cy="4176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17</col>
      <colOff>0</colOff>
      <row>10</row>
      <rowOff>0</rowOff>
    </from>
    <ext cx="5256000" cy="4176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45DEED"/>
    <outlinePr summaryBelow="1" summaryRight="1"/>
    <pageSetUpPr fitToPage="1"/>
  </sheetPr>
  <dimension ref="A1:AG60"/>
  <sheetViews>
    <sheetView showGridLines="0" zoomScale="60" workbookViewId="0">
      <selection activeCell="A1" sqref="A1"/>
    </sheetView>
  </sheetViews>
  <sheetFormatPr baseColWidth="8" defaultRowHeight="15"/>
  <cols>
    <col width="2.5" customWidth="1" min="1" max="1"/>
    <col width="9.300000000000001" customWidth="1" min="2" max="2"/>
    <col width="9.300000000000001" customWidth="1" min="3" max="3"/>
    <col width="9.300000000000001" customWidth="1" min="4" max="4"/>
    <col width="9.300000000000001" customWidth="1" min="5" max="5"/>
    <col width="9.300000000000001" customWidth="1" min="6" max="6"/>
    <col width="9.300000000000001" customWidth="1" min="7" max="7"/>
    <col width="9.300000000000001" customWidth="1" min="8" max="8"/>
    <col width="9.300000000000001" customWidth="1" min="9" max="9"/>
    <col width="9.300000000000001" customWidth="1" min="10" max="10"/>
    <col width="9.300000000000001" customWidth="1" min="11" max="11"/>
    <col width="9.300000000000001" customWidth="1" min="12" max="12"/>
    <col width="9.300000000000001" customWidth="1" min="13" max="13"/>
    <col width="9.300000000000001" customWidth="1" min="14" max="14"/>
    <col width="9.300000000000001" customWidth="1" min="15" max="15"/>
    <col width="9.300000000000001" customWidth="1" min="16" max="16"/>
    <col width="9.300000000000001" customWidth="1" min="17" max="17"/>
    <col width="9.300000000000001" customWidth="1" min="18" max="18"/>
    <col width="9.300000000000001" customWidth="1" min="19" max="19"/>
    <col width="9.300000000000001" customWidth="1" min="20" max="20"/>
    <col width="9.300000000000001" customWidth="1" min="21" max="21"/>
    <col width="9.300000000000001" customWidth="1" min="22" max="22"/>
    <col width="9.300000000000001" customWidth="1" min="23" max="23"/>
    <col width="9.300000000000001" customWidth="1" min="24" max="24"/>
    <col width="9.300000000000001" customWidth="1" min="25" max="25"/>
    <col width="2.5" customWidth="1" min="26" max="26"/>
  </cols>
  <sheetData>
    <row r="1" ht="10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</row>
    <row r="2" ht="30" customHeight="1">
      <c r="A2" s="1" t="n"/>
      <c r="B2" s="2" t="inlineStr">
        <is>
          <t>EO</t>
        </is>
      </c>
      <c r="C2" s="3" t="n"/>
      <c r="D2" s="4" t="inlineStr">
        <is>
          <t>Almox EO</t>
        </is>
      </c>
      <c r="L2" s="1" t="n"/>
      <c r="M2" s="1" t="n"/>
      <c r="N2" s="1" t="n"/>
      <c r="O2" s="1" t="n"/>
      <c r="P2" s="5" t="inlineStr">
        <is>
          <t>MÊS DE ANÁLISE</t>
        </is>
      </c>
      <c r="T2" s="6" t="inlineStr">
        <is>
          <t>Out/2025</t>
        </is>
      </c>
      <c r="U2" s="7" t="n"/>
      <c r="V2" s="7" t="n"/>
      <c r="W2" s="8" t="inlineStr">
        <is>
          <t>DADOS DEMONSTRATIVOS</t>
        </is>
      </c>
      <c r="X2" s="9" t="n"/>
      <c r="Y2" s="9" t="n"/>
      <c r="Z2" s="1" t="n"/>
      <c r="AA2" s="1" t="n"/>
      <c r="AB2" s="1" t="n"/>
      <c r="AC2" s="1" t="n"/>
      <c r="AD2" s="1" t="n"/>
      <c r="AE2" s="1" t="n"/>
      <c r="AF2" s="1" t="n"/>
      <c r="AG2" s="1" t="n"/>
    </row>
    <row r="3" ht="20" customHeight="1">
      <c r="A3" s="1" t="n"/>
      <c r="B3" s="3" t="n"/>
      <c r="C3" s="3" t="n"/>
      <c r="D3" s="10" t="inlineStr">
        <is>
          <t>Gestão Inteligente de Estoque</t>
        </is>
      </c>
      <c r="L3" s="1" t="n"/>
      <c r="M3" s="1" t="n"/>
      <c r="N3" s="1" t="n"/>
      <c r="O3" s="1" t="n"/>
      <c r="P3" s="5" t="inlineStr">
        <is>
          <t>PERÍODO DOS DADOS</t>
        </is>
      </c>
      <c r="T3" s="11">
        <f>MIN('Movimentações'!$A$5:$A$1004)</f>
        <v/>
      </c>
      <c r="V3" s="12" t="inlineStr">
        <is>
          <t>a</t>
        </is>
      </c>
      <c r="W3" s="11">
        <f>MAX('Movimentações'!$A$5:$A$1004)</f>
        <v/>
      </c>
      <c r="Y3" s="1" t="n"/>
      <c r="Z3" s="1" t="n"/>
      <c r="AA3" s="1" t="n"/>
      <c r="AB3" s="1" t="n"/>
      <c r="AC3" s="1" t="n"/>
      <c r="AD3" s="1" t="n"/>
      <c r="AE3" s="1" t="n"/>
      <c r="AF3" s="1" t="n"/>
      <c r="AG3" s="1" t="n"/>
    </row>
    <row r="4" ht="20" customHeight="1">
      <c r="A4" s="1" t="n"/>
      <c r="B4" s="3" t="n"/>
      <c r="C4" s="3" t="n"/>
      <c r="D4" s="13" t="inlineStr">
        <is>
          <t>Organização  +  Controle  +  Resultados</t>
        </is>
      </c>
      <c r="L4" s="1" t="n"/>
      <c r="M4" s="1" t="n"/>
      <c r="N4" s="1" t="n"/>
      <c r="O4" s="1" t="n"/>
      <c r="P4" s="5" t="inlineStr">
        <is>
          <t>ÚLTIMA MOVIMENTAÇÃO</t>
        </is>
      </c>
      <c r="T4" s="11">
        <f>MAX('Movimentações'!$A$5:$A$1004)</f>
        <v/>
      </c>
      <c r="V4" s="14" t="inlineStr">
        <is>
          <t>registrada na aba Movimentações</t>
        </is>
      </c>
      <c r="Z4" s="1" t="n"/>
      <c r="AA4" s="1" t="n"/>
      <c r="AB4" s="1" t="n"/>
      <c r="AC4" s="1" t="n"/>
      <c r="AD4" s="1" t="n"/>
      <c r="AE4" s="1" t="n"/>
      <c r="AF4" s="1" t="n"/>
      <c r="AG4" s="1" t="n"/>
    </row>
    <row r="5" ht="10" customHeight="1">
      <c r="A5" s="1" t="n"/>
      <c r="B5" s="15" t="n"/>
      <c r="C5" s="15" t="n"/>
      <c r="D5" s="15" t="n"/>
      <c r="E5" s="15" t="n"/>
      <c r="F5" s="15" t="n"/>
      <c r="G5" s="15" t="n"/>
      <c r="H5" s="15" t="n"/>
      <c r="I5" s="15" t="n"/>
      <c r="J5" s="15" t="n"/>
      <c r="K5" s="15" t="n"/>
      <c r="L5" s="15" t="n"/>
      <c r="M5" s="15" t="n"/>
      <c r="N5" s="15" t="n"/>
      <c r="O5" s="15" t="n"/>
      <c r="P5" s="15" t="n"/>
      <c r="Q5" s="15" t="n"/>
      <c r="R5" s="15" t="n"/>
      <c r="S5" s="15" t="n"/>
      <c r="T5" s="15" t="n"/>
      <c r="U5" s="15" t="n"/>
      <c r="V5" s="15" t="n"/>
      <c r="W5" s="15" t="n"/>
      <c r="X5" s="15" t="n"/>
      <c r="Y5" s="15" t="n"/>
      <c r="Z5" s="1" t="n"/>
      <c r="AA5" s="1" t="n"/>
      <c r="AB5" s="1" t="n"/>
      <c r="AC5" s="1" t="n"/>
      <c r="AD5" s="1" t="n"/>
      <c r="AE5" s="1" t="n"/>
      <c r="AF5" s="1" t="n"/>
      <c r="AG5" s="1" t="n"/>
    </row>
    <row r="6" ht="8" customHeight="1">
      <c r="A6" s="1" t="n"/>
      <c r="B6" s="16" t="n"/>
      <c r="C6" s="17" t="n"/>
      <c r="D6" s="17" t="n"/>
      <c r="E6" s="18" t="n"/>
      <c r="F6" s="16" t="n"/>
      <c r="G6" s="17" t="n"/>
      <c r="H6" s="17" t="n"/>
      <c r="I6" s="18" t="n"/>
      <c r="J6" s="19" t="n"/>
      <c r="K6" s="20" t="n"/>
      <c r="L6" s="20" t="n"/>
      <c r="M6" s="21" t="n"/>
      <c r="N6" s="22" t="n"/>
      <c r="O6" s="23" t="n"/>
      <c r="P6" s="23" t="n"/>
      <c r="Q6" s="24" t="n"/>
      <c r="R6" s="25" t="n"/>
      <c r="S6" s="26" t="n"/>
      <c r="T6" s="26" t="n"/>
      <c r="U6" s="27" t="n"/>
      <c r="V6" s="16" t="n"/>
      <c r="W6" s="17" t="n"/>
      <c r="X6" s="17" t="n"/>
      <c r="Y6" s="18" t="n"/>
      <c r="Z6" s="1" t="n"/>
      <c r="AA6" s="1" t="n"/>
      <c r="AB6" s="1" t="n"/>
      <c r="AC6" s="1" t="n"/>
      <c r="AD6" s="1" t="n"/>
      <c r="AE6" s="1" t="n"/>
      <c r="AF6" s="1" t="n"/>
      <c r="AG6" s="1" t="n"/>
    </row>
    <row r="7" ht="20" customHeight="1">
      <c r="A7" s="1" t="n"/>
      <c r="B7" s="28" t="inlineStr">
        <is>
          <t>PRODUTOS CADASTRADOS</t>
        </is>
      </c>
      <c r="E7" s="29" t="n"/>
      <c r="F7" s="28" t="inlineStr">
        <is>
          <t>VALOR EM ESTOQUE</t>
        </is>
      </c>
      <c r="I7" s="29" t="n"/>
      <c r="J7" s="28" t="inlineStr">
        <is>
          <t>ITENS EM ALERTA</t>
        </is>
      </c>
      <c r="M7" s="29" t="n"/>
      <c r="N7" s="28" t="inlineStr">
        <is>
          <t>ENTRADAS NO MÊS</t>
        </is>
      </c>
      <c r="Q7" s="29" t="n"/>
      <c r="R7" s="28" t="inlineStr">
        <is>
          <t>SAÍDAS NO MÊS</t>
        </is>
      </c>
      <c r="U7" s="29" t="n"/>
      <c r="V7" s="28" t="inlineStr">
        <is>
          <t>MOVIMENTAÇÕES</t>
        </is>
      </c>
      <c r="Y7" s="29" t="n"/>
      <c r="Z7" s="1" t="n"/>
      <c r="AA7" s="1" t="n"/>
      <c r="AB7" s="1" t="n"/>
      <c r="AC7" s="1" t="n"/>
      <c r="AD7" s="1" t="n"/>
      <c r="AE7" s="1" t="n"/>
      <c r="AF7" s="1" t="n"/>
      <c r="AG7" s="1" t="n"/>
    </row>
    <row r="8" ht="36" customHeight="1">
      <c r="A8" s="1" t="n"/>
      <c r="B8" s="30">
        <f>COUNTA('Produtos'!$A$5:$A$204)</f>
        <v/>
      </c>
      <c r="E8" s="29" t="n"/>
      <c r="F8" s="31">
        <f>SUM('Estoque'!$K$5:$K$204)</f>
        <v/>
      </c>
      <c r="I8" s="29" t="n"/>
      <c r="J8" s="32">
        <f>COUNTIF('Estoque'!$L$5:$L$204,"REPOR")+COUNTIF('Estoque'!$L$5:$L$204,"CRÍTICO")</f>
        <v/>
      </c>
      <c r="M8" s="29" t="n"/>
      <c r="N8" s="30">
        <f>IFERROR(INDEX('Relatórios'!$D$6:$D$11,MATCH($T$2,'Relatórios'!$A$6:$A$11,0)),0)</f>
        <v/>
      </c>
      <c r="Q8" s="29" t="n"/>
      <c r="R8" s="30">
        <f>IFERROR(INDEX('Relatórios'!$E$6:$E$11,MATCH($T$2,'Relatórios'!$A$6:$A$11,0)),0)</f>
        <v/>
      </c>
      <c r="U8" s="29" t="n"/>
      <c r="V8" s="30">
        <f>COUNTA('Movimentações'!$B$5:$B$1004)</f>
        <v/>
      </c>
      <c r="Y8" s="29" t="n"/>
      <c r="Z8" s="1" t="n"/>
      <c r="AA8" s="1" t="n"/>
      <c r="AB8" s="1" t="n"/>
      <c r="AC8" s="1" t="n"/>
      <c r="AD8" s="1" t="n"/>
      <c r="AE8" s="1" t="n"/>
      <c r="AF8" s="1" t="n"/>
      <c r="AG8" s="1" t="n"/>
    </row>
    <row r="9" ht="20" customHeight="1">
      <c r="A9" s="1" t="n"/>
      <c r="B9" s="33" t="inlineStr">
        <is>
          <t>itens ativos no cadastro</t>
        </is>
      </c>
      <c r="E9" s="29" t="n"/>
      <c r="F9" s="33" t="inlineStr">
        <is>
          <t>saldo atual × custo unitário</t>
        </is>
      </c>
      <c r="I9" s="29" t="n"/>
      <c r="J9" s="33">
        <f>"Crítico: "&amp;COUNTIF('Estoque'!$L$5:$L$204,"CRÍTICO")&amp;"   ·   Repor: "&amp;COUNTIF('Estoque'!$L$5:$L$204,"REPOR")</f>
        <v/>
      </c>
      <c r="M9" s="29" t="n"/>
      <c r="N9" s="33">
        <f>"unidades recebidas em "&amp;$T$2</f>
        <v/>
      </c>
      <c r="Q9" s="29" t="n"/>
      <c r="R9" s="33">
        <f>"unidades retiradas em "&amp;$T$2</f>
        <v/>
      </c>
      <c r="U9" s="29" t="n"/>
      <c r="V9" s="33" t="inlineStr">
        <is>
          <t>registros no histórico</t>
        </is>
      </c>
      <c r="Y9" s="29" t="n"/>
      <c r="Z9" s="1" t="n"/>
      <c r="AA9" s="1" t="n"/>
      <c r="AB9" s="1" t="n"/>
      <c r="AC9" s="1" t="n"/>
      <c r="AD9" s="1" t="n"/>
      <c r="AE9" s="1" t="n"/>
      <c r="AF9" s="1" t="n"/>
      <c r="AG9" s="1" t="n"/>
    </row>
    <row r="10" ht="12" customHeight="1">
      <c r="A10" s="1" t="n"/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  <c r="AA10" s="1" t="n"/>
      <c r="AB10" s="1" t="n"/>
      <c r="AC10" s="1" t="n"/>
      <c r="AD10" s="1" t="n"/>
      <c r="AE10" s="1" t="n"/>
      <c r="AF10" s="1" t="n"/>
      <c r="AG10" s="1" t="n"/>
    </row>
    <row r="11" ht="20" customHeight="1">
      <c r="A11" s="1" t="n"/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  <c r="AA11" s="1" t="n"/>
      <c r="AB11" s="1" t="n"/>
      <c r="AC11" s="1" t="n"/>
      <c r="AD11" s="1" t="n"/>
      <c r="AE11" s="1" t="n"/>
      <c r="AF11" s="1" t="n"/>
      <c r="AG11" s="1" t="n"/>
    </row>
    <row r="12" ht="20" customHeight="1">
      <c r="A12" s="1" t="n"/>
      <c r="B12" s="1" t="n"/>
      <c r="C12" s="1" t="n"/>
      <c r="D12" s="1" t="n"/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  <c r="AA12" s="1" t="n"/>
      <c r="AB12" s="1" t="n"/>
      <c r="AC12" s="1" t="n"/>
      <c r="AD12" s="1" t="n"/>
      <c r="AE12" s="1" t="n"/>
      <c r="AF12" s="1" t="n"/>
      <c r="AG12" s="1" t="n"/>
    </row>
    <row r="13" ht="20" customHeight="1">
      <c r="A13" s="1" t="n"/>
      <c r="B13" s="1" t="n"/>
      <c r="C13" s="1" t="n"/>
      <c r="D13" s="1" t="n"/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  <c r="AA13" s="1" t="n"/>
      <c r="AB13" s="1" t="n"/>
      <c r="AC13" s="1" t="n"/>
      <c r="AD13" s="1" t="n"/>
      <c r="AE13" s="1" t="n"/>
      <c r="AF13" s="1" t="n"/>
      <c r="AG13" s="1" t="n"/>
    </row>
    <row r="14" ht="20" customHeight="1">
      <c r="A14" s="1" t="n"/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  <c r="AA14" s="1" t="n"/>
      <c r="AB14" s="1" t="n"/>
      <c r="AC14" s="1" t="n"/>
      <c r="AD14" s="1" t="n"/>
      <c r="AE14" s="1" t="n"/>
      <c r="AF14" s="1" t="n"/>
      <c r="AG14" s="1" t="n"/>
    </row>
    <row r="15" ht="20" customHeight="1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  <c r="AA15" s="1" t="n"/>
      <c r="AB15" s="1" t="n"/>
      <c r="AC15" s="1" t="n"/>
      <c r="AD15" s="1" t="n"/>
      <c r="AE15" s="1" t="n"/>
      <c r="AF15" s="1" t="n"/>
      <c r="AG15" s="1" t="n"/>
    </row>
    <row r="16" ht="20" customHeight="1">
      <c r="A16" s="1" t="n"/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  <c r="AA16" s="1" t="n"/>
      <c r="AB16" s="1" t="n"/>
      <c r="AC16" s="1" t="n"/>
      <c r="AD16" s="1" t="n"/>
      <c r="AE16" s="1" t="n"/>
      <c r="AF16" s="1" t="n"/>
      <c r="AG16" s="1" t="n"/>
    </row>
    <row r="17" ht="20" customHeight="1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  <c r="AA17" s="1" t="n"/>
      <c r="AB17" s="1" t="n"/>
      <c r="AC17" s="1" t="n"/>
      <c r="AD17" s="1" t="n"/>
      <c r="AE17" s="1" t="n"/>
      <c r="AF17" s="1" t="n"/>
      <c r="AG17" s="1" t="n"/>
    </row>
    <row r="18" ht="20" customHeight="1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  <c r="AA18" s="1" t="n"/>
      <c r="AB18" s="1" t="n"/>
      <c r="AC18" s="1" t="n"/>
      <c r="AD18" s="1" t="n"/>
      <c r="AE18" s="1" t="n"/>
      <c r="AF18" s="1" t="n"/>
      <c r="AG18" s="1" t="n"/>
    </row>
    <row r="19" ht="20" customHeight="1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  <c r="AA19" s="1" t="n"/>
      <c r="AB19" s="1" t="n"/>
      <c r="AC19" s="1" t="n"/>
      <c r="AD19" s="1" t="n"/>
      <c r="AE19" s="1" t="n"/>
      <c r="AF19" s="1" t="n"/>
      <c r="AG19" s="1" t="n"/>
    </row>
    <row r="20" ht="20" customHeight="1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  <c r="AA20" s="1" t="n"/>
      <c r="AB20" s="1" t="n"/>
      <c r="AC20" s="1" t="n"/>
      <c r="AD20" s="1" t="n"/>
      <c r="AE20" s="1" t="n"/>
      <c r="AF20" s="1" t="n"/>
      <c r="AG20" s="1" t="n"/>
    </row>
    <row r="21" ht="20" customHeight="1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  <c r="AA21" s="1" t="n"/>
      <c r="AB21" s="1" t="n"/>
      <c r="AC21" s="1" t="n"/>
      <c r="AD21" s="1" t="n"/>
      <c r="AE21" s="1" t="n"/>
      <c r="AF21" s="1" t="n"/>
      <c r="AG21" s="1" t="n"/>
    </row>
    <row r="22" ht="20" customHeight="1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  <c r="AA22" s="1" t="n"/>
      <c r="AB22" s="1" t="n"/>
      <c r="AC22" s="1" t="n"/>
      <c r="AD22" s="1" t="n"/>
      <c r="AE22" s="1" t="n"/>
      <c r="AF22" s="1" t="n"/>
      <c r="AG22" s="1" t="n"/>
    </row>
    <row r="23" ht="20" customHeight="1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  <c r="AA23" s="1" t="n"/>
      <c r="AB23" s="1" t="n"/>
      <c r="AC23" s="1" t="n"/>
      <c r="AD23" s="1" t="n"/>
      <c r="AE23" s="1" t="n"/>
      <c r="AF23" s="1" t="n"/>
      <c r="AG23" s="1" t="n"/>
    </row>
    <row r="24" ht="20" customHeight="1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  <c r="AA24" s="1" t="n"/>
      <c r="AB24" s="1" t="n"/>
      <c r="AC24" s="1" t="n"/>
      <c r="AD24" s="1" t="n"/>
      <c r="AE24" s="1" t="n"/>
      <c r="AF24" s="1" t="n"/>
      <c r="AG24" s="1" t="n"/>
    </row>
    <row r="25" ht="20" customHeight="1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  <c r="AA25" s="1" t="n"/>
      <c r="AB25" s="1" t="n"/>
      <c r="AC25" s="1" t="n"/>
      <c r="AD25" s="1" t="n"/>
      <c r="AE25" s="1" t="n"/>
      <c r="AF25" s="1" t="n"/>
      <c r="AG25" s="1" t="n"/>
    </row>
    <row r="26" ht="20" customHeight="1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  <c r="AA26" s="1" t="n"/>
      <c r="AB26" s="1" t="n"/>
      <c r="AC26" s="1" t="n"/>
      <c r="AD26" s="1" t="n"/>
      <c r="AE26" s="1" t="n"/>
      <c r="AF26" s="1" t="n"/>
      <c r="AG26" s="1" t="n"/>
    </row>
    <row r="27" ht="20" customHeight="1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  <c r="AA27" s="1" t="n"/>
      <c r="AB27" s="1" t="n"/>
      <c r="AC27" s="1" t="n"/>
      <c r="AD27" s="1" t="n"/>
      <c r="AE27" s="1" t="n"/>
      <c r="AF27" s="1" t="n"/>
      <c r="AG27" s="1" t="n"/>
    </row>
    <row r="28" ht="12" customHeight="1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  <c r="AA28" s="1" t="n"/>
      <c r="AB28" s="1" t="n"/>
      <c r="AC28" s="1" t="n"/>
      <c r="AD28" s="1" t="n"/>
      <c r="AE28" s="1" t="n"/>
      <c r="AF28" s="1" t="n"/>
      <c r="AG28" s="1" t="n"/>
    </row>
    <row r="29" ht="24" customHeight="1">
      <c r="A29" s="1" t="n"/>
      <c r="B29" s="34" t="inlineStr">
        <is>
          <t>ALERTAS DE REPOSIÇÃO</t>
        </is>
      </c>
      <c r="C29" s="35" t="n"/>
      <c r="D29" s="35" t="n"/>
      <c r="E29" s="35" t="n"/>
      <c r="F29" s="35" t="n"/>
      <c r="G29" s="35" t="n"/>
      <c r="H29" s="35" t="n"/>
      <c r="I29" s="35" t="n"/>
      <c r="J29" s="35" t="n"/>
      <c r="K29" s="35" t="n"/>
      <c r="L29" s="35" t="n"/>
      <c r="M29" s="1" t="n"/>
      <c r="N29" s="36" t="inlineStr">
        <is>
          <t>MOVIMENTAÇÕES RECENTES</t>
        </is>
      </c>
      <c r="O29" s="37" t="n"/>
      <c r="P29" s="37" t="n"/>
      <c r="Q29" s="37" t="n"/>
      <c r="R29" s="37" t="n"/>
      <c r="S29" s="37" t="n"/>
      <c r="T29" s="37" t="n"/>
      <c r="U29" s="37" t="n"/>
      <c r="V29" s="37" t="n"/>
      <c r="W29" s="37" t="n"/>
      <c r="X29" s="37" t="n"/>
      <c r="Y29" s="37" t="n"/>
      <c r="Z29" s="1" t="n"/>
      <c r="AA29" s="1" t="n"/>
      <c r="AB29" s="1" t="n"/>
      <c r="AC29" s="1" t="n"/>
      <c r="AD29" s="1" t="n"/>
      <c r="AE29" s="1" t="n"/>
      <c r="AF29" s="1" t="n"/>
      <c r="AG29" s="1" t="n"/>
    </row>
    <row r="30" ht="22" customHeight="1">
      <c r="A30" s="1" t="n"/>
      <c r="B30" s="38" t="inlineStr">
        <is>
          <t>CÓDIGO</t>
        </is>
      </c>
      <c r="C30" s="39" t="inlineStr">
        <is>
          <t>PRODUTO</t>
        </is>
      </c>
      <c r="D30" s="40" t="n"/>
      <c r="E30" s="40" t="n"/>
      <c r="F30" s="40" t="n"/>
      <c r="G30" s="38" t="inlineStr">
        <is>
          <t>SALDO</t>
        </is>
      </c>
      <c r="H30" s="38" t="inlineStr">
        <is>
          <t>MÍNIMO</t>
        </is>
      </c>
      <c r="I30" s="38" t="inlineStr">
        <is>
          <t>SUGERIDO</t>
        </is>
      </c>
      <c r="J30" s="40" t="n"/>
      <c r="K30" s="38" t="inlineStr">
        <is>
          <t>STATUS</t>
        </is>
      </c>
      <c r="L30" s="40" t="n"/>
      <c r="M30" s="1" t="n"/>
      <c r="N30" s="38" t="inlineStr">
        <is>
          <t>DATA</t>
        </is>
      </c>
      <c r="O30" s="40" t="n"/>
      <c r="P30" s="38" t="inlineStr">
        <is>
          <t>CÓDIGO</t>
        </is>
      </c>
      <c r="Q30" s="39" t="inlineStr">
        <is>
          <t>PRODUTO</t>
        </is>
      </c>
      <c r="R30" s="40" t="n"/>
      <c r="S30" s="40" t="n"/>
      <c r="T30" s="40" t="n"/>
      <c r="U30" s="38" t="inlineStr">
        <is>
          <t>TIPO</t>
        </is>
      </c>
      <c r="V30" s="40" t="n"/>
      <c r="W30" s="38" t="inlineStr">
        <is>
          <t>QTD.</t>
        </is>
      </c>
      <c r="X30" s="39" t="inlineStr">
        <is>
          <t>RESPONSÁVEL</t>
        </is>
      </c>
      <c r="Y30" s="40" t="n"/>
      <c r="Z30" s="1" t="n"/>
      <c r="AA30" s="1" t="n"/>
      <c r="AB30" s="1" t="n"/>
      <c r="AC30" s="1" t="n"/>
      <c r="AD30" s="1" t="n"/>
      <c r="AE30" s="1" t="n"/>
      <c r="AF30" s="1" t="n"/>
      <c r="AG30" s="1" t="n"/>
    </row>
    <row r="31" ht="20" customHeight="1">
      <c r="A31" s="1" t="n"/>
      <c r="B31" s="41">
        <f>'Relatórios'!N6</f>
        <v/>
      </c>
      <c r="C31" s="42">
        <f>IF(COUNT('Estoque'!$O$5:$O$204)=0,"Nenhum produto precisa de reposição no momento.",'Relatórios'!O6)</f>
        <v/>
      </c>
      <c r="D31" s="43" t="n"/>
      <c r="E31" s="43" t="n"/>
      <c r="F31" s="43" t="n"/>
      <c r="G31" s="44">
        <f>'Relatórios'!P6</f>
        <v/>
      </c>
      <c r="H31" s="44">
        <f>'Relatórios'!Q6</f>
        <v/>
      </c>
      <c r="I31" s="44">
        <f>'Relatórios'!R6</f>
        <v/>
      </c>
      <c r="J31" s="43" t="n"/>
      <c r="K31" s="41">
        <f>'Relatórios'!S6</f>
        <v/>
      </c>
      <c r="L31" s="43" t="n"/>
      <c r="M31" s="1" t="n"/>
      <c r="N31" s="45">
        <f>'Relatórios'!N18</f>
        <v/>
      </c>
      <c r="O31" s="43" t="n"/>
      <c r="P31" s="41">
        <f>'Relatórios'!O18</f>
        <v/>
      </c>
      <c r="Q31" s="42">
        <f>'Relatórios'!P18</f>
        <v/>
      </c>
      <c r="R31" s="43" t="n"/>
      <c r="S31" s="43" t="n"/>
      <c r="T31" s="43" t="n"/>
      <c r="U31" s="41">
        <f>'Relatórios'!Q18</f>
        <v/>
      </c>
      <c r="V31" s="43" t="n"/>
      <c r="W31" s="44">
        <f>'Relatórios'!R18</f>
        <v/>
      </c>
      <c r="X31" s="42">
        <f>'Relatórios'!S18</f>
        <v/>
      </c>
      <c r="Y31" s="43" t="n"/>
      <c r="Z31" s="1" t="n"/>
      <c r="AA31" s="1" t="n"/>
      <c r="AB31" s="1" t="n"/>
      <c r="AC31" s="1" t="n"/>
      <c r="AD31" s="1" t="n"/>
      <c r="AE31" s="1" t="n"/>
      <c r="AF31" s="1" t="n"/>
      <c r="AG31" s="1" t="n"/>
    </row>
    <row r="32" ht="20" customHeight="1">
      <c r="A32" s="1" t="n"/>
      <c r="B32" s="46">
        <f>'Relatórios'!N7</f>
        <v/>
      </c>
      <c r="C32" s="47">
        <f>'Relatórios'!O7</f>
        <v/>
      </c>
      <c r="D32" s="48" t="n"/>
      <c r="E32" s="48" t="n"/>
      <c r="F32" s="48" t="n"/>
      <c r="G32" s="49">
        <f>'Relatórios'!P7</f>
        <v/>
      </c>
      <c r="H32" s="49">
        <f>'Relatórios'!Q7</f>
        <v/>
      </c>
      <c r="I32" s="49">
        <f>'Relatórios'!R7</f>
        <v/>
      </c>
      <c r="J32" s="48" t="n"/>
      <c r="K32" s="46">
        <f>'Relatórios'!S7</f>
        <v/>
      </c>
      <c r="L32" s="48" t="n"/>
      <c r="M32" s="1" t="n"/>
      <c r="N32" s="50">
        <f>'Relatórios'!N19</f>
        <v/>
      </c>
      <c r="O32" s="48" t="n"/>
      <c r="P32" s="46">
        <f>'Relatórios'!O19</f>
        <v/>
      </c>
      <c r="Q32" s="47">
        <f>'Relatórios'!P19</f>
        <v/>
      </c>
      <c r="R32" s="48" t="n"/>
      <c r="S32" s="48" t="n"/>
      <c r="T32" s="48" t="n"/>
      <c r="U32" s="46">
        <f>'Relatórios'!Q19</f>
        <v/>
      </c>
      <c r="V32" s="48" t="n"/>
      <c r="W32" s="49">
        <f>'Relatórios'!R19</f>
        <v/>
      </c>
      <c r="X32" s="47">
        <f>'Relatórios'!S19</f>
        <v/>
      </c>
      <c r="Y32" s="48" t="n"/>
      <c r="Z32" s="1" t="n"/>
      <c r="AA32" s="1" t="n"/>
      <c r="AB32" s="1" t="n"/>
      <c r="AC32" s="1" t="n"/>
      <c r="AD32" s="1" t="n"/>
      <c r="AE32" s="1" t="n"/>
      <c r="AF32" s="1" t="n"/>
      <c r="AG32" s="1" t="n"/>
    </row>
    <row r="33" ht="20" customHeight="1">
      <c r="A33" s="1" t="n"/>
      <c r="B33" s="41">
        <f>'Relatórios'!N8</f>
        <v/>
      </c>
      <c r="C33" s="42">
        <f>'Relatórios'!O8</f>
        <v/>
      </c>
      <c r="D33" s="43" t="n"/>
      <c r="E33" s="43" t="n"/>
      <c r="F33" s="43" t="n"/>
      <c r="G33" s="44">
        <f>'Relatórios'!P8</f>
        <v/>
      </c>
      <c r="H33" s="44">
        <f>'Relatórios'!Q8</f>
        <v/>
      </c>
      <c r="I33" s="44">
        <f>'Relatórios'!R8</f>
        <v/>
      </c>
      <c r="J33" s="43" t="n"/>
      <c r="K33" s="41">
        <f>'Relatórios'!S8</f>
        <v/>
      </c>
      <c r="L33" s="43" t="n"/>
      <c r="M33" s="1" t="n"/>
      <c r="N33" s="45">
        <f>'Relatórios'!N20</f>
        <v/>
      </c>
      <c r="O33" s="43" t="n"/>
      <c r="P33" s="41">
        <f>'Relatórios'!O20</f>
        <v/>
      </c>
      <c r="Q33" s="42">
        <f>'Relatórios'!P20</f>
        <v/>
      </c>
      <c r="R33" s="43" t="n"/>
      <c r="S33" s="43" t="n"/>
      <c r="T33" s="43" t="n"/>
      <c r="U33" s="41">
        <f>'Relatórios'!Q20</f>
        <v/>
      </c>
      <c r="V33" s="43" t="n"/>
      <c r="W33" s="44">
        <f>'Relatórios'!R20</f>
        <v/>
      </c>
      <c r="X33" s="42">
        <f>'Relatórios'!S20</f>
        <v/>
      </c>
      <c r="Y33" s="43" t="n"/>
      <c r="Z33" s="1" t="n"/>
      <c r="AA33" s="1" t="n"/>
      <c r="AB33" s="1" t="n"/>
      <c r="AC33" s="1" t="n"/>
      <c r="AD33" s="1" t="n"/>
      <c r="AE33" s="1" t="n"/>
      <c r="AF33" s="1" t="n"/>
      <c r="AG33" s="1" t="n"/>
    </row>
    <row r="34" ht="20" customHeight="1">
      <c r="A34" s="1" t="n"/>
      <c r="B34" s="46">
        <f>'Relatórios'!N9</f>
        <v/>
      </c>
      <c r="C34" s="47">
        <f>'Relatórios'!O9</f>
        <v/>
      </c>
      <c r="D34" s="48" t="n"/>
      <c r="E34" s="48" t="n"/>
      <c r="F34" s="48" t="n"/>
      <c r="G34" s="49">
        <f>'Relatórios'!P9</f>
        <v/>
      </c>
      <c r="H34" s="49">
        <f>'Relatórios'!Q9</f>
        <v/>
      </c>
      <c r="I34" s="49">
        <f>'Relatórios'!R9</f>
        <v/>
      </c>
      <c r="J34" s="48" t="n"/>
      <c r="K34" s="46">
        <f>'Relatórios'!S9</f>
        <v/>
      </c>
      <c r="L34" s="48" t="n"/>
      <c r="M34" s="1" t="n"/>
      <c r="N34" s="50">
        <f>'Relatórios'!N21</f>
        <v/>
      </c>
      <c r="O34" s="48" t="n"/>
      <c r="P34" s="46">
        <f>'Relatórios'!O21</f>
        <v/>
      </c>
      <c r="Q34" s="47">
        <f>'Relatórios'!P21</f>
        <v/>
      </c>
      <c r="R34" s="48" t="n"/>
      <c r="S34" s="48" t="n"/>
      <c r="T34" s="48" t="n"/>
      <c r="U34" s="46">
        <f>'Relatórios'!Q21</f>
        <v/>
      </c>
      <c r="V34" s="48" t="n"/>
      <c r="W34" s="49">
        <f>'Relatórios'!R21</f>
        <v/>
      </c>
      <c r="X34" s="47">
        <f>'Relatórios'!S21</f>
        <v/>
      </c>
      <c r="Y34" s="48" t="n"/>
      <c r="Z34" s="1" t="n"/>
      <c r="AA34" s="1" t="n"/>
      <c r="AB34" s="1" t="n"/>
      <c r="AC34" s="1" t="n"/>
      <c r="AD34" s="1" t="n"/>
      <c r="AE34" s="1" t="n"/>
      <c r="AF34" s="1" t="n"/>
      <c r="AG34" s="1" t="n"/>
    </row>
    <row r="35" ht="20" customHeight="1">
      <c r="A35" s="1" t="n"/>
      <c r="B35" s="41">
        <f>'Relatórios'!N10</f>
        <v/>
      </c>
      <c r="C35" s="42">
        <f>'Relatórios'!O10</f>
        <v/>
      </c>
      <c r="D35" s="43" t="n"/>
      <c r="E35" s="43" t="n"/>
      <c r="F35" s="43" t="n"/>
      <c r="G35" s="44">
        <f>'Relatórios'!P10</f>
        <v/>
      </c>
      <c r="H35" s="44">
        <f>'Relatórios'!Q10</f>
        <v/>
      </c>
      <c r="I35" s="44">
        <f>'Relatórios'!R10</f>
        <v/>
      </c>
      <c r="J35" s="43" t="n"/>
      <c r="K35" s="41">
        <f>'Relatórios'!S10</f>
        <v/>
      </c>
      <c r="L35" s="43" t="n"/>
      <c r="M35" s="1" t="n"/>
      <c r="N35" s="45">
        <f>'Relatórios'!N22</f>
        <v/>
      </c>
      <c r="O35" s="43" t="n"/>
      <c r="P35" s="41">
        <f>'Relatórios'!O22</f>
        <v/>
      </c>
      <c r="Q35" s="42">
        <f>'Relatórios'!P22</f>
        <v/>
      </c>
      <c r="R35" s="43" t="n"/>
      <c r="S35" s="43" t="n"/>
      <c r="T35" s="43" t="n"/>
      <c r="U35" s="41">
        <f>'Relatórios'!Q22</f>
        <v/>
      </c>
      <c r="V35" s="43" t="n"/>
      <c r="W35" s="44">
        <f>'Relatórios'!R22</f>
        <v/>
      </c>
      <c r="X35" s="42">
        <f>'Relatórios'!S22</f>
        <v/>
      </c>
      <c r="Y35" s="43" t="n"/>
      <c r="Z35" s="1" t="n"/>
      <c r="AA35" s="1" t="n"/>
      <c r="AB35" s="1" t="n"/>
      <c r="AC35" s="1" t="n"/>
      <c r="AD35" s="1" t="n"/>
      <c r="AE35" s="1" t="n"/>
      <c r="AF35" s="1" t="n"/>
      <c r="AG35" s="1" t="n"/>
    </row>
    <row r="36" ht="20" customHeight="1">
      <c r="A36" s="1" t="n"/>
      <c r="B36" s="46">
        <f>'Relatórios'!N11</f>
        <v/>
      </c>
      <c r="C36" s="47">
        <f>'Relatórios'!O11</f>
        <v/>
      </c>
      <c r="D36" s="48" t="n"/>
      <c r="E36" s="48" t="n"/>
      <c r="F36" s="48" t="n"/>
      <c r="G36" s="49">
        <f>'Relatórios'!P11</f>
        <v/>
      </c>
      <c r="H36" s="49">
        <f>'Relatórios'!Q11</f>
        <v/>
      </c>
      <c r="I36" s="49">
        <f>'Relatórios'!R11</f>
        <v/>
      </c>
      <c r="J36" s="48" t="n"/>
      <c r="K36" s="46">
        <f>'Relatórios'!S11</f>
        <v/>
      </c>
      <c r="L36" s="48" t="n"/>
      <c r="M36" s="1" t="n"/>
      <c r="N36" s="50">
        <f>'Relatórios'!N23</f>
        <v/>
      </c>
      <c r="O36" s="48" t="n"/>
      <c r="P36" s="46">
        <f>'Relatórios'!O23</f>
        <v/>
      </c>
      <c r="Q36" s="47">
        <f>'Relatórios'!P23</f>
        <v/>
      </c>
      <c r="R36" s="48" t="n"/>
      <c r="S36" s="48" t="n"/>
      <c r="T36" s="48" t="n"/>
      <c r="U36" s="46">
        <f>'Relatórios'!Q23</f>
        <v/>
      </c>
      <c r="V36" s="48" t="n"/>
      <c r="W36" s="49">
        <f>'Relatórios'!R23</f>
        <v/>
      </c>
      <c r="X36" s="47">
        <f>'Relatórios'!S23</f>
        <v/>
      </c>
      <c r="Y36" s="48" t="n"/>
      <c r="Z36" s="1" t="n"/>
      <c r="AA36" s="1" t="n"/>
      <c r="AB36" s="1" t="n"/>
      <c r="AC36" s="1" t="n"/>
      <c r="AD36" s="1" t="n"/>
      <c r="AE36" s="1" t="n"/>
      <c r="AF36" s="1" t="n"/>
      <c r="AG36" s="1" t="n"/>
    </row>
    <row r="37" ht="20" customHeight="1">
      <c r="A37" s="1" t="n"/>
      <c r="B37" s="41">
        <f>'Relatórios'!N12</f>
        <v/>
      </c>
      <c r="C37" s="42">
        <f>'Relatórios'!O12</f>
        <v/>
      </c>
      <c r="D37" s="43" t="n"/>
      <c r="E37" s="43" t="n"/>
      <c r="F37" s="43" t="n"/>
      <c r="G37" s="44">
        <f>'Relatórios'!P12</f>
        <v/>
      </c>
      <c r="H37" s="44">
        <f>'Relatórios'!Q12</f>
        <v/>
      </c>
      <c r="I37" s="44">
        <f>'Relatórios'!R12</f>
        <v/>
      </c>
      <c r="J37" s="43" t="n"/>
      <c r="K37" s="41">
        <f>'Relatórios'!S12</f>
        <v/>
      </c>
      <c r="L37" s="43" t="n"/>
      <c r="M37" s="1" t="n"/>
      <c r="N37" s="45">
        <f>'Relatórios'!N24</f>
        <v/>
      </c>
      <c r="O37" s="43" t="n"/>
      <c r="P37" s="41">
        <f>'Relatórios'!O24</f>
        <v/>
      </c>
      <c r="Q37" s="42">
        <f>'Relatórios'!P24</f>
        <v/>
      </c>
      <c r="R37" s="43" t="n"/>
      <c r="S37" s="43" t="n"/>
      <c r="T37" s="43" t="n"/>
      <c r="U37" s="41">
        <f>'Relatórios'!Q24</f>
        <v/>
      </c>
      <c r="V37" s="43" t="n"/>
      <c r="W37" s="44">
        <f>'Relatórios'!R24</f>
        <v/>
      </c>
      <c r="X37" s="42">
        <f>'Relatórios'!S24</f>
        <v/>
      </c>
      <c r="Y37" s="43" t="n"/>
      <c r="Z37" s="1" t="n"/>
      <c r="AA37" s="1" t="n"/>
      <c r="AB37" s="1" t="n"/>
      <c r="AC37" s="1" t="n"/>
      <c r="AD37" s="1" t="n"/>
      <c r="AE37" s="1" t="n"/>
      <c r="AF37" s="1" t="n"/>
      <c r="AG37" s="1" t="n"/>
    </row>
    <row r="38" ht="20" customHeight="1">
      <c r="A38" s="1" t="n"/>
      <c r="B38" s="46">
        <f>'Relatórios'!N13</f>
        <v/>
      </c>
      <c r="C38" s="47">
        <f>'Relatórios'!O13</f>
        <v/>
      </c>
      <c r="D38" s="48" t="n"/>
      <c r="E38" s="48" t="n"/>
      <c r="F38" s="48" t="n"/>
      <c r="G38" s="49">
        <f>'Relatórios'!P13</f>
        <v/>
      </c>
      <c r="H38" s="49">
        <f>'Relatórios'!Q13</f>
        <v/>
      </c>
      <c r="I38" s="49">
        <f>'Relatórios'!R13</f>
        <v/>
      </c>
      <c r="J38" s="48" t="n"/>
      <c r="K38" s="46">
        <f>'Relatórios'!S13</f>
        <v/>
      </c>
      <c r="L38" s="48" t="n"/>
      <c r="M38" s="1" t="n"/>
      <c r="N38" s="50">
        <f>'Relatórios'!N25</f>
        <v/>
      </c>
      <c r="O38" s="48" t="n"/>
      <c r="P38" s="46">
        <f>'Relatórios'!O25</f>
        <v/>
      </c>
      <c r="Q38" s="47">
        <f>'Relatórios'!P25</f>
        <v/>
      </c>
      <c r="R38" s="48" t="n"/>
      <c r="S38" s="48" t="n"/>
      <c r="T38" s="48" t="n"/>
      <c r="U38" s="46">
        <f>'Relatórios'!Q25</f>
        <v/>
      </c>
      <c r="V38" s="48" t="n"/>
      <c r="W38" s="49">
        <f>'Relatórios'!R25</f>
        <v/>
      </c>
      <c r="X38" s="47">
        <f>'Relatórios'!S25</f>
        <v/>
      </c>
      <c r="Y38" s="48" t="n"/>
      <c r="Z38" s="1" t="n"/>
      <c r="AA38" s="1" t="n"/>
      <c r="AB38" s="1" t="n"/>
      <c r="AC38" s="1" t="n"/>
      <c r="AD38" s="1" t="n"/>
      <c r="AE38" s="1" t="n"/>
      <c r="AF38" s="1" t="n"/>
      <c r="AG38" s="1" t="n"/>
    </row>
    <row r="39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  <c r="AA39" s="1" t="n"/>
      <c r="AB39" s="1" t="n"/>
      <c r="AC39" s="1" t="n"/>
      <c r="AD39" s="1" t="n"/>
      <c r="AE39" s="1" t="n"/>
      <c r="AF39" s="1" t="n"/>
      <c r="AG39" s="1" t="n"/>
    </row>
    <row r="40">
      <c r="A40" s="1" t="n"/>
      <c r="B40" s="51" t="inlineStr">
        <is>
          <t>Projeto de portfólio · Elinaldo Oliveira · Todos os dados são fictícios e demonstrativos · Veja a aba Leia-me</t>
        </is>
      </c>
      <c r="Z40" s="1" t="n"/>
      <c r="AA40" s="1" t="n"/>
      <c r="AB40" s="1" t="n"/>
      <c r="AC40" s="1" t="n"/>
      <c r="AD40" s="1" t="n"/>
      <c r="AE40" s="1" t="n"/>
      <c r="AF40" s="1" t="n"/>
      <c r="AG40" s="1" t="n"/>
    </row>
    <row r="41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  <c r="AA41" s="1" t="n"/>
      <c r="AB41" s="1" t="n"/>
      <c r="AC41" s="1" t="n"/>
      <c r="AD41" s="1" t="n"/>
      <c r="AE41" s="1" t="n"/>
      <c r="AF41" s="1" t="n"/>
      <c r="AG41" s="1" t="n"/>
    </row>
    <row r="42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  <c r="AA42" s="1" t="n"/>
      <c r="AB42" s="1" t="n"/>
      <c r="AC42" s="1" t="n"/>
      <c r="AD42" s="1" t="n"/>
      <c r="AE42" s="1" t="n"/>
      <c r="AF42" s="1" t="n"/>
      <c r="AG42" s="1" t="n"/>
    </row>
    <row r="43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  <c r="AA43" s="1" t="n"/>
      <c r="AB43" s="1" t="n"/>
      <c r="AC43" s="1" t="n"/>
      <c r="AD43" s="1" t="n"/>
      <c r="AE43" s="1" t="n"/>
      <c r="AF43" s="1" t="n"/>
      <c r="AG43" s="1" t="n"/>
    </row>
    <row r="44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  <c r="AA44" s="1" t="n"/>
      <c r="AB44" s="1" t="n"/>
      <c r="AC44" s="1" t="n"/>
      <c r="AD44" s="1" t="n"/>
      <c r="AE44" s="1" t="n"/>
      <c r="AF44" s="1" t="n"/>
      <c r="AG44" s="1" t="n"/>
    </row>
    <row r="45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  <c r="AA45" s="1" t="n"/>
      <c r="AB45" s="1" t="n"/>
      <c r="AC45" s="1" t="n"/>
      <c r="AD45" s="1" t="n"/>
      <c r="AE45" s="1" t="n"/>
      <c r="AF45" s="1" t="n"/>
      <c r="AG45" s="1" t="n"/>
    </row>
    <row r="46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  <c r="AA46" s="1" t="n"/>
      <c r="AB46" s="1" t="n"/>
      <c r="AC46" s="1" t="n"/>
      <c r="AD46" s="1" t="n"/>
      <c r="AE46" s="1" t="n"/>
      <c r="AF46" s="1" t="n"/>
      <c r="AG46" s="1" t="n"/>
    </row>
    <row r="47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  <c r="AA47" s="1" t="n"/>
      <c r="AB47" s="1" t="n"/>
      <c r="AC47" s="1" t="n"/>
      <c r="AD47" s="1" t="n"/>
      <c r="AE47" s="1" t="n"/>
      <c r="AF47" s="1" t="n"/>
      <c r="AG47" s="1" t="n"/>
    </row>
    <row r="48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  <c r="AA48" s="1" t="n"/>
      <c r="AB48" s="1" t="n"/>
      <c r="AC48" s="1" t="n"/>
      <c r="AD48" s="1" t="n"/>
      <c r="AE48" s="1" t="n"/>
      <c r="AF48" s="1" t="n"/>
      <c r="AG48" s="1" t="n"/>
    </row>
    <row r="49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  <c r="AA49" s="1" t="n"/>
      <c r="AB49" s="1" t="n"/>
      <c r="AC49" s="1" t="n"/>
      <c r="AD49" s="1" t="n"/>
      <c r="AE49" s="1" t="n"/>
      <c r="AF49" s="1" t="n"/>
      <c r="AG49" s="1" t="n"/>
    </row>
    <row r="50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  <c r="AA50" s="1" t="n"/>
      <c r="AB50" s="1" t="n"/>
      <c r="AC50" s="1" t="n"/>
      <c r="AD50" s="1" t="n"/>
      <c r="AE50" s="1" t="n"/>
      <c r="AF50" s="1" t="n"/>
      <c r="AG50" s="1" t="n"/>
    </row>
    <row r="51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  <c r="AA51" s="1" t="n"/>
      <c r="AB51" s="1" t="n"/>
      <c r="AC51" s="1" t="n"/>
      <c r="AD51" s="1" t="n"/>
      <c r="AE51" s="1" t="n"/>
      <c r="AF51" s="1" t="n"/>
      <c r="AG51" s="1" t="n"/>
    </row>
    <row r="52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  <c r="AA52" s="1" t="n"/>
      <c r="AB52" s="1" t="n"/>
      <c r="AC52" s="1" t="n"/>
      <c r="AD52" s="1" t="n"/>
      <c r="AE52" s="1" t="n"/>
      <c r="AF52" s="1" t="n"/>
      <c r="AG52" s="1" t="n"/>
    </row>
    <row r="53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  <c r="AA53" s="1" t="n"/>
      <c r="AB53" s="1" t="n"/>
      <c r="AC53" s="1" t="n"/>
      <c r="AD53" s="1" t="n"/>
      <c r="AE53" s="1" t="n"/>
      <c r="AF53" s="1" t="n"/>
      <c r="AG53" s="1" t="n"/>
    </row>
    <row r="54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  <c r="AA54" s="1" t="n"/>
      <c r="AB54" s="1" t="n"/>
      <c r="AC54" s="1" t="n"/>
      <c r="AD54" s="1" t="n"/>
      <c r="AE54" s="1" t="n"/>
      <c r="AF54" s="1" t="n"/>
      <c r="AG54" s="1" t="n"/>
    </row>
    <row r="55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  <c r="AA55" s="1" t="n"/>
      <c r="AB55" s="1" t="n"/>
      <c r="AC55" s="1" t="n"/>
      <c r="AD55" s="1" t="n"/>
      <c r="AE55" s="1" t="n"/>
      <c r="AF55" s="1" t="n"/>
      <c r="AG55" s="1" t="n"/>
    </row>
    <row r="56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  <c r="AA56" s="1" t="n"/>
      <c r="AB56" s="1" t="n"/>
      <c r="AC56" s="1" t="n"/>
      <c r="AD56" s="1" t="n"/>
      <c r="AE56" s="1" t="n"/>
      <c r="AF56" s="1" t="n"/>
      <c r="AG56" s="1" t="n"/>
    </row>
    <row r="57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  <c r="AA57" s="1" t="n"/>
      <c r="AB57" s="1" t="n"/>
      <c r="AC57" s="1" t="n"/>
      <c r="AD57" s="1" t="n"/>
      <c r="AE57" s="1" t="n"/>
      <c r="AF57" s="1" t="n"/>
      <c r="AG57" s="1" t="n"/>
    </row>
    <row r="58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  <c r="AA58" s="1" t="n"/>
      <c r="AB58" s="1" t="n"/>
      <c r="AC58" s="1" t="n"/>
      <c r="AD58" s="1" t="n"/>
      <c r="AE58" s="1" t="n"/>
      <c r="AF58" s="1" t="n"/>
      <c r="AG58" s="1" t="n"/>
    </row>
    <row r="59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  <c r="AA59" s="1" t="n"/>
      <c r="AB59" s="1" t="n"/>
      <c r="AC59" s="1" t="n"/>
      <c r="AD59" s="1" t="n"/>
      <c r="AE59" s="1" t="n"/>
      <c r="AF59" s="1" t="n"/>
      <c r="AG59" s="1" t="n"/>
    </row>
    <row r="60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  <c r="AA60" s="1" t="n"/>
      <c r="AB60" s="1" t="n"/>
      <c r="AC60" s="1" t="n"/>
      <c r="AD60" s="1" t="n"/>
      <c r="AE60" s="1" t="n"/>
      <c r="AF60" s="1" t="n"/>
      <c r="AG60" s="1" t="n"/>
    </row>
  </sheetData>
  <mergeCells count="102">
    <mergeCell ref="U31:V31"/>
    <mergeCell ref="B30"/>
    <mergeCell ref="K33:L33"/>
    <mergeCell ref="P30"/>
    <mergeCell ref="C32:F32"/>
    <mergeCell ref="C37:F37"/>
    <mergeCell ref="T2:V2"/>
    <mergeCell ref="K35:L35"/>
    <mergeCell ref="H30"/>
    <mergeCell ref="B2:C4"/>
    <mergeCell ref="X34:Y34"/>
    <mergeCell ref="X37:Y37"/>
    <mergeCell ref="W3:X3"/>
    <mergeCell ref="W2:Y2"/>
    <mergeCell ref="X30:Y30"/>
    <mergeCell ref="J9:M9"/>
    <mergeCell ref="N38:O38"/>
    <mergeCell ref="W30"/>
    <mergeCell ref="U33:V33"/>
    <mergeCell ref="X38:Y38"/>
    <mergeCell ref="N31:O31"/>
    <mergeCell ref="D3:K3"/>
    <mergeCell ref="Q35:T35"/>
    <mergeCell ref="G30"/>
    <mergeCell ref="K37:L37"/>
    <mergeCell ref="Q34:T34"/>
    <mergeCell ref="C36:F36"/>
    <mergeCell ref="I30:J30"/>
    <mergeCell ref="K30:L30"/>
    <mergeCell ref="N35:O35"/>
    <mergeCell ref="Q36:T36"/>
    <mergeCell ref="Q30:T30"/>
    <mergeCell ref="V7:Y7"/>
    <mergeCell ref="R8:U8"/>
    <mergeCell ref="I32:J32"/>
    <mergeCell ref="J8:M8"/>
    <mergeCell ref="K32:L32"/>
    <mergeCell ref="C30:F30"/>
    <mergeCell ref="U32:V32"/>
    <mergeCell ref="Q37:T37"/>
    <mergeCell ref="B29:L29"/>
    <mergeCell ref="I33:J33"/>
    <mergeCell ref="Q38:T38"/>
    <mergeCell ref="P2:S2"/>
    <mergeCell ref="I35:J35"/>
    <mergeCell ref="V9:Y9"/>
    <mergeCell ref="N30:O30"/>
    <mergeCell ref="Q31:T31"/>
    <mergeCell ref="X31:Y31"/>
    <mergeCell ref="U34:V34"/>
    <mergeCell ref="F9:I9"/>
    <mergeCell ref="N32:O32"/>
    <mergeCell ref="X32:Y32"/>
    <mergeCell ref="U36:V36"/>
    <mergeCell ref="U30:V30"/>
    <mergeCell ref="C34:F34"/>
    <mergeCell ref="B7:E7"/>
    <mergeCell ref="I37:J37"/>
    <mergeCell ref="N33:O33"/>
    <mergeCell ref="K31:L31"/>
    <mergeCell ref="N7:Q7"/>
    <mergeCell ref="U37:V37"/>
    <mergeCell ref="B40:Y40"/>
    <mergeCell ref="V8:Y8"/>
    <mergeCell ref="F7:I7"/>
    <mergeCell ref="R7:U7"/>
    <mergeCell ref="D4:K4"/>
    <mergeCell ref="C31:F31"/>
    <mergeCell ref="N8:Q8"/>
    <mergeCell ref="F8:I8"/>
    <mergeCell ref="T3:U3"/>
    <mergeCell ref="X36:Y36"/>
    <mergeCell ref="U35:V35"/>
    <mergeCell ref="I34:J34"/>
    <mergeCell ref="B9:E9"/>
    <mergeCell ref="K34:L34"/>
    <mergeCell ref="N9:Q9"/>
    <mergeCell ref="P3:S3"/>
    <mergeCell ref="C38:F38"/>
    <mergeCell ref="I36:J36"/>
    <mergeCell ref="K36:L36"/>
    <mergeCell ref="N37:O37"/>
    <mergeCell ref="Q32:T32"/>
    <mergeCell ref="T4:U4"/>
    <mergeCell ref="R9:U9"/>
    <mergeCell ref="N29:Y29"/>
    <mergeCell ref="D2:K2"/>
    <mergeCell ref="P4:S4"/>
    <mergeCell ref="C33:F33"/>
    <mergeCell ref="Q33:T33"/>
    <mergeCell ref="C35:F35"/>
    <mergeCell ref="X33:Y33"/>
    <mergeCell ref="V4:Y4"/>
    <mergeCell ref="X35:Y35"/>
    <mergeCell ref="B8:E8"/>
    <mergeCell ref="I38:J38"/>
    <mergeCell ref="N34:O34"/>
    <mergeCell ref="K38:L38"/>
    <mergeCell ref="U38:V38"/>
    <mergeCell ref="I31:J31"/>
    <mergeCell ref="J7:M7"/>
    <mergeCell ref="N36:O36"/>
  </mergeCells>
  <conditionalFormatting sqref="J8">
    <cfRule type="cellIs" priority="1" operator="equal" dxfId="0">
      <formula>0</formula>
    </cfRule>
  </conditionalFormatting>
  <conditionalFormatting sqref="K31:L38">
    <cfRule type="cellIs" priority="2" operator="equal" dxfId="1">
      <formula>"CRÍTICO"</formula>
    </cfRule>
    <cfRule type="cellIs" priority="3" operator="equal" dxfId="2">
      <formula>"REPOR"</formula>
    </cfRule>
  </conditionalFormatting>
  <conditionalFormatting sqref="I31:J38">
    <cfRule type="expression" priority="4" dxfId="3">
      <formula>ISNUMBER(I31)</formula>
    </cfRule>
  </conditionalFormatting>
  <conditionalFormatting sqref="U31:V38">
    <cfRule type="cellIs" priority="5" operator="equal" dxfId="0">
      <formula>"Entrada"</formula>
    </cfRule>
    <cfRule type="cellIs" priority="6" operator="equal" dxfId="2">
      <formula>"Saída"</formula>
    </cfRule>
  </conditionalFormatting>
  <conditionalFormatting sqref="C31">
    <cfRule type="expression" priority="7" dxfId="0">
      <formula>COUNT('Estoque'!$O$5:$O$204)=0</formula>
    </cfRule>
  </conditionalFormatting>
  <dataValidations count="1">
    <dataValidation sqref="T2" showDropDown="0" showInputMessage="1" showErrorMessage="1" allowBlank="0" errorTitle="Mês inválido" error="Escolha um mês da lista (Mai/2025 a Out/2025)." promptTitle="Mês de análise" prompt="Escolha o mês para os cartões de Entradas e Saídas." type="list">
      <formula1>=lst_Meses</formula1>
    </dataValidation>
  </dataValidations>
  <printOptions horizontalCentered="1"/>
  <pageMargins left="0.3" right="0.3" top="0.4" bottom="0.4" header="0.5" footer="0.5"/>
  <pageSetup orientation="landscape" paperSize="9" fitToHeight="1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12334D"/>
    <outlinePr summaryBelow="1" summaryRight="1"/>
    <pageSetUpPr fitToPage="1"/>
  </sheetPr>
  <dimension ref="A1:I204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36" customWidth="1" min="2" max="2"/>
    <col width="24" customWidth="1" min="3" max="3"/>
    <col width="26" customWidth="1" min="4" max="4"/>
    <col width="15" customWidth="1" min="5" max="5"/>
    <col width="12" customWidth="1" min="6" max="6"/>
    <col width="12" customWidth="1" min="7" max="7"/>
    <col width="12" customWidth="1" min="8" max="8"/>
    <col width="13" customWidth="1" min="9" max="9"/>
  </cols>
  <sheetData>
    <row r="1" ht="30" customHeight="1">
      <c r="A1" s="52" t="inlineStr">
        <is>
          <t>Almox EO  ·  Cadastro de Produtos</t>
        </is>
      </c>
      <c r="B1" s="1" t="n"/>
      <c r="C1" s="1" t="n"/>
      <c r="D1" s="1" t="n"/>
      <c r="E1" s="1" t="n"/>
      <c r="F1" s="1" t="n"/>
      <c r="G1" s="1" t="n"/>
      <c r="H1" s="1" t="n"/>
      <c r="I1" s="1" t="n"/>
    </row>
    <row r="2" ht="20" customHeight="1">
      <c r="A2" s="53" t="inlineStr">
        <is>
          <t>Cadastre cada item em uma linha. Códigos únicos (P001…), categoria pela lista, quantidades inteiras ≥ 0. Capacidade: 200 produtos.</t>
        </is>
      </c>
      <c r="B2" s="1" t="n"/>
      <c r="C2" s="1" t="n"/>
      <c r="D2" s="1" t="n"/>
      <c r="E2" s="1" t="n"/>
      <c r="F2" s="1" t="n"/>
      <c r="G2" s="1" t="n"/>
      <c r="H2" s="1" t="n"/>
      <c r="I2" s="1" t="n"/>
    </row>
    <row r="3" ht="20" customHeight="1">
      <c r="A3" s="54" t="inlineStr">
        <is>
          <t>Legenda:</t>
        </is>
      </c>
      <c r="B3" s="55" t="inlineStr">
        <is>
          <t>Branco = digitar dados</t>
        </is>
      </c>
      <c r="C3" s="56" t="inlineStr">
        <is>
          <t>Cinza-azulado = fórmula (não editar)</t>
        </is>
      </c>
    </row>
    <row r="4" ht="30" customHeight="1">
      <c r="A4" s="57" t="inlineStr">
        <is>
          <t>Código do produto</t>
        </is>
      </c>
      <c r="B4" s="57" t="inlineStr">
        <is>
          <t>Nome do produto</t>
        </is>
      </c>
      <c r="C4" s="57" t="inlineStr">
        <is>
          <t>Categoria</t>
        </is>
      </c>
      <c r="D4" s="57" t="inlineStr">
        <is>
          <t>Fornecedor</t>
        </is>
      </c>
      <c r="E4" s="57" t="inlineStr">
        <is>
          <t>Custo unitário (R$)</t>
        </is>
      </c>
      <c r="F4" s="57" t="inlineStr">
        <is>
          <t>Estoque inicial</t>
        </is>
      </c>
      <c r="G4" s="57" t="inlineStr">
        <is>
          <t>Estoque mínimo</t>
        </is>
      </c>
      <c r="H4" s="57" t="inlineStr">
        <is>
          <t>Estoque máximo</t>
        </is>
      </c>
      <c r="I4" s="57" t="inlineStr">
        <is>
          <t>Localização</t>
        </is>
      </c>
    </row>
    <row r="5">
      <c r="A5" s="58" t="inlineStr">
        <is>
          <t>P001</t>
        </is>
      </c>
      <c r="B5" s="59" t="inlineStr">
        <is>
          <t>Cabo drop 1 fibra (bobina 1 km)</t>
        </is>
      </c>
      <c r="C5" s="59" t="inlineStr">
        <is>
          <t>Fibra Óptica</t>
        </is>
      </c>
      <c r="D5" s="59" t="inlineStr">
        <is>
          <t>LumenFibra Cabos</t>
        </is>
      </c>
      <c r="E5" s="60" t="n">
        <v>389.9</v>
      </c>
      <c r="F5" s="61" t="n">
        <v>14</v>
      </c>
      <c r="G5" s="61" t="n">
        <v>6</v>
      </c>
      <c r="H5" s="61" t="n">
        <v>20</v>
      </c>
      <c r="I5" s="58" t="inlineStr">
        <is>
          <t>A-01-01</t>
        </is>
      </c>
    </row>
    <row r="6">
      <c r="A6" s="58" t="inlineStr">
        <is>
          <t>P002</t>
        </is>
      </c>
      <c r="B6" s="59" t="inlineStr">
        <is>
          <t>Conector rápido SC/APC</t>
        </is>
      </c>
      <c r="C6" s="59" t="inlineStr">
        <is>
          <t>Fibra Óptica</t>
        </is>
      </c>
      <c r="D6" s="59" t="inlineStr">
        <is>
          <t>LumenFibra Cabos</t>
        </is>
      </c>
      <c r="E6" s="60" t="n">
        <v>3.2</v>
      </c>
      <c r="F6" s="61" t="n">
        <v>400</v>
      </c>
      <c r="G6" s="61" t="n">
        <v>150</v>
      </c>
      <c r="H6" s="61" t="n">
        <v>600</v>
      </c>
      <c r="I6" s="58" t="inlineStr">
        <is>
          <t>A-01-02</t>
        </is>
      </c>
    </row>
    <row r="7">
      <c r="A7" s="58" t="inlineStr">
        <is>
          <t>P003</t>
        </is>
      </c>
      <c r="B7" s="59" t="inlineStr">
        <is>
          <t>Splitter óptico 1x8</t>
        </is>
      </c>
      <c r="C7" s="59" t="inlineStr">
        <is>
          <t>Fibra Óptica</t>
        </is>
      </c>
      <c r="D7" s="59" t="inlineStr">
        <is>
          <t>OptiLink Componentes</t>
        </is>
      </c>
      <c r="E7" s="60" t="n">
        <v>42.5</v>
      </c>
      <c r="F7" s="61" t="n">
        <v>40</v>
      </c>
      <c r="G7" s="61" t="n">
        <v>15</v>
      </c>
      <c r="H7" s="61" t="n">
        <v>60</v>
      </c>
      <c r="I7" s="58" t="inlineStr">
        <is>
          <t>A-01-03</t>
        </is>
      </c>
    </row>
    <row r="8">
      <c r="A8" s="58" t="inlineStr">
        <is>
          <t>P004</t>
        </is>
      </c>
      <c r="B8" s="59" t="inlineStr">
        <is>
          <t>Caixa de terminação óptica 16P</t>
        </is>
      </c>
      <c r="C8" s="59" t="inlineStr">
        <is>
          <t>Fibra Óptica</t>
        </is>
      </c>
      <c r="D8" s="59" t="inlineStr">
        <is>
          <t>OptiLink Componentes</t>
        </is>
      </c>
      <c r="E8" s="60" t="n">
        <v>118</v>
      </c>
      <c r="F8" s="61" t="n">
        <v>18</v>
      </c>
      <c r="G8" s="61" t="n">
        <v>8</v>
      </c>
      <c r="H8" s="61" t="n">
        <v>30</v>
      </c>
      <c r="I8" s="58" t="inlineStr">
        <is>
          <t>A-02-01</t>
        </is>
      </c>
    </row>
    <row r="9">
      <c r="A9" s="58" t="inlineStr">
        <is>
          <t>P005</t>
        </is>
      </c>
      <c r="B9" s="59" t="inlineStr">
        <is>
          <t>Tubete protetor de emenda</t>
        </is>
      </c>
      <c r="C9" s="59" t="inlineStr">
        <is>
          <t>Fibra Óptica</t>
        </is>
      </c>
      <c r="D9" s="59" t="inlineStr">
        <is>
          <t>OptiLink Componentes</t>
        </is>
      </c>
      <c r="E9" s="60" t="n">
        <v>0.35</v>
      </c>
      <c r="F9" s="61" t="n">
        <v>900</v>
      </c>
      <c r="G9" s="61" t="n">
        <v>300</v>
      </c>
      <c r="H9" s="61" t="n">
        <v>1500</v>
      </c>
      <c r="I9" s="58" t="inlineStr">
        <is>
          <t>A-02-02</t>
        </is>
      </c>
    </row>
    <row r="10">
      <c r="A10" s="58" t="inlineStr">
        <is>
          <t>P006</t>
        </is>
      </c>
      <c r="B10" s="59" t="inlineStr">
        <is>
          <t>ONU GPON Wi-Fi dual band</t>
        </is>
      </c>
      <c r="C10" s="59" t="inlineStr">
        <is>
          <t>Equipamentos de Rede</t>
        </is>
      </c>
      <c r="D10" s="59" t="inlineStr">
        <is>
          <t>NetPoint Distribuidora</t>
        </is>
      </c>
      <c r="E10" s="60" t="n">
        <v>189</v>
      </c>
      <c r="F10" s="61" t="n">
        <v>60</v>
      </c>
      <c r="G10" s="61" t="n">
        <v>25</v>
      </c>
      <c r="H10" s="61" t="n">
        <v>90</v>
      </c>
      <c r="I10" s="58" t="inlineStr">
        <is>
          <t>B-01-01</t>
        </is>
      </c>
    </row>
    <row r="11">
      <c r="A11" s="58" t="inlineStr">
        <is>
          <t>P007</t>
        </is>
      </c>
      <c r="B11" s="59" t="inlineStr">
        <is>
          <t>Roteador Wi-Fi 6</t>
        </is>
      </c>
      <c r="C11" s="59" t="inlineStr">
        <is>
          <t>Equipamentos de Rede</t>
        </is>
      </c>
      <c r="D11" s="59" t="inlineStr">
        <is>
          <t>NetPoint Distribuidora</t>
        </is>
      </c>
      <c r="E11" s="60" t="n">
        <v>245</v>
      </c>
      <c r="F11" s="61" t="n">
        <v>25</v>
      </c>
      <c r="G11" s="61" t="n">
        <v>10</v>
      </c>
      <c r="H11" s="61" t="n">
        <v>40</v>
      </c>
      <c r="I11" s="58" t="inlineStr">
        <is>
          <t>B-01-02</t>
        </is>
      </c>
    </row>
    <row r="12">
      <c r="A12" s="58" t="inlineStr">
        <is>
          <t>P008</t>
        </is>
      </c>
      <c r="B12" s="59" t="inlineStr">
        <is>
          <t>Patch cord óptico SC/APC 2 m</t>
        </is>
      </c>
      <c r="C12" s="59" t="inlineStr">
        <is>
          <t>Equipamentos de Rede</t>
        </is>
      </c>
      <c r="D12" s="59" t="inlineStr">
        <is>
          <t>OptiLink Componentes</t>
        </is>
      </c>
      <c r="E12" s="60" t="n">
        <v>9.800000000000001</v>
      </c>
      <c r="F12" s="61" t="n">
        <v>150</v>
      </c>
      <c r="G12" s="61" t="n">
        <v>60</v>
      </c>
      <c r="H12" s="61" t="n">
        <v>250</v>
      </c>
      <c r="I12" s="58" t="inlineStr">
        <is>
          <t>B-01-03</t>
        </is>
      </c>
    </row>
    <row r="13">
      <c r="A13" s="58" t="inlineStr">
        <is>
          <t>P009</t>
        </is>
      </c>
      <c r="B13" s="59" t="inlineStr">
        <is>
          <t>Fonte 12V 1A para ONU</t>
        </is>
      </c>
      <c r="C13" s="59" t="inlineStr">
        <is>
          <t>Equipamentos de Rede</t>
        </is>
      </c>
      <c r="D13" s="59" t="inlineStr">
        <is>
          <t>NetPoint Distribuidora</t>
        </is>
      </c>
      <c r="E13" s="60" t="n">
        <v>14.5</v>
      </c>
      <c r="F13" s="61" t="n">
        <v>50</v>
      </c>
      <c r="G13" s="61" t="n">
        <v>20</v>
      </c>
      <c r="H13" s="61" t="n">
        <v>80</v>
      </c>
      <c r="I13" s="58" t="inlineStr">
        <is>
          <t>B-02-01</t>
        </is>
      </c>
    </row>
    <row r="14">
      <c r="A14" s="58" t="inlineStr">
        <is>
          <t>P010</t>
        </is>
      </c>
      <c r="B14" s="59" t="inlineStr">
        <is>
          <t>Clivador de precisão</t>
        </is>
      </c>
      <c r="C14" s="59" t="inlineStr">
        <is>
          <t>Ferramentas</t>
        </is>
      </c>
      <c r="D14" s="59" t="inlineStr">
        <is>
          <t>Ferramax Industrial</t>
        </is>
      </c>
      <c r="E14" s="60" t="n">
        <v>680</v>
      </c>
      <c r="F14" s="61" t="n">
        <v>6</v>
      </c>
      <c r="G14" s="61" t="n">
        <v>3</v>
      </c>
      <c r="H14" s="61" t="n">
        <v>8</v>
      </c>
      <c r="I14" s="58" t="inlineStr">
        <is>
          <t>C-01-01</t>
        </is>
      </c>
    </row>
    <row r="15">
      <c r="A15" s="58" t="inlineStr">
        <is>
          <t>P011</t>
        </is>
      </c>
      <c r="B15" s="59" t="inlineStr">
        <is>
          <t>Alicate decapador de fibra</t>
        </is>
      </c>
      <c r="C15" s="59" t="inlineStr">
        <is>
          <t>Ferramentas</t>
        </is>
      </c>
      <c r="D15" s="59" t="inlineStr">
        <is>
          <t>Ferramax Industrial</t>
        </is>
      </c>
      <c r="E15" s="60" t="n">
        <v>95</v>
      </c>
      <c r="F15" s="61" t="n">
        <v>10</v>
      </c>
      <c r="G15" s="61" t="n">
        <v>4</v>
      </c>
      <c r="H15" s="61" t="n">
        <v>14</v>
      </c>
      <c r="I15" s="58" t="inlineStr">
        <is>
          <t>C-01-02</t>
        </is>
      </c>
    </row>
    <row r="16">
      <c r="A16" s="58" t="inlineStr">
        <is>
          <t>P012</t>
        </is>
      </c>
      <c r="B16" s="59" t="inlineStr">
        <is>
          <t>Kit limpeza óptica</t>
        </is>
      </c>
      <c r="C16" s="59" t="inlineStr">
        <is>
          <t>Ferramentas</t>
        </is>
      </c>
      <c r="D16" s="59" t="inlineStr">
        <is>
          <t>OptiLink Componentes</t>
        </is>
      </c>
      <c r="E16" s="60" t="n">
        <v>64</v>
      </c>
      <c r="F16" s="61" t="n">
        <v>12</v>
      </c>
      <c r="G16" s="61" t="n">
        <v>5</v>
      </c>
      <c r="H16" s="61" t="n">
        <v>18</v>
      </c>
      <c r="I16" s="58" t="inlineStr">
        <is>
          <t>C-01-03</t>
        </is>
      </c>
    </row>
    <row r="17">
      <c r="A17" s="58" t="inlineStr">
        <is>
          <t>P013</t>
        </is>
      </c>
      <c r="B17" s="59" t="inlineStr">
        <is>
          <t>Power meter óptico</t>
        </is>
      </c>
      <c r="C17" s="59" t="inlineStr">
        <is>
          <t>Ferramentas</t>
        </is>
      </c>
      <c r="D17" s="59" t="inlineStr">
        <is>
          <t>Ferramax Industrial</t>
        </is>
      </c>
      <c r="E17" s="60" t="n">
        <v>520</v>
      </c>
      <c r="F17" s="61" t="n">
        <v>5</v>
      </c>
      <c r="G17" s="61" t="n">
        <v>2</v>
      </c>
      <c r="H17" s="61" t="n">
        <v>6</v>
      </c>
      <c r="I17" s="58" t="inlineStr">
        <is>
          <t>C-02-01</t>
        </is>
      </c>
    </row>
    <row r="18">
      <c r="A18" s="58" t="inlineStr">
        <is>
          <t>P014</t>
        </is>
      </c>
      <c r="B18" s="59" t="inlineStr">
        <is>
          <t>Filme stretch 500 mm</t>
        </is>
      </c>
      <c r="C18" s="59" t="inlineStr">
        <is>
          <t>Embalagem e Expedição</t>
        </is>
      </c>
      <c r="D18" s="59" t="inlineStr">
        <is>
          <t>EmbalaNorte</t>
        </is>
      </c>
      <c r="E18" s="60" t="n">
        <v>32.9</v>
      </c>
      <c r="F18" s="61" t="n">
        <v>40</v>
      </c>
      <c r="G18" s="61" t="n">
        <v>15</v>
      </c>
      <c r="H18" s="61" t="n">
        <v>60</v>
      </c>
      <c r="I18" s="58" t="inlineStr">
        <is>
          <t>D-01-01</t>
        </is>
      </c>
    </row>
    <row r="19">
      <c r="A19" s="58" t="inlineStr">
        <is>
          <t>P015</t>
        </is>
      </c>
      <c r="B19" s="59" t="inlineStr">
        <is>
          <t>Fita adesiva transparente 48 mm</t>
        </is>
      </c>
      <c r="C19" s="59" t="inlineStr">
        <is>
          <t>Embalagem e Expedição</t>
        </is>
      </c>
      <c r="D19" s="59" t="inlineStr">
        <is>
          <t>EmbalaNorte</t>
        </is>
      </c>
      <c r="E19" s="60" t="n">
        <v>6.4</v>
      </c>
      <c r="F19" s="61" t="n">
        <v>120</v>
      </c>
      <c r="G19" s="61" t="n">
        <v>40</v>
      </c>
      <c r="H19" s="61" t="n">
        <v>180</v>
      </c>
      <c r="I19" s="58" t="inlineStr">
        <is>
          <t>D-01-02</t>
        </is>
      </c>
    </row>
    <row r="20">
      <c r="A20" s="58" t="inlineStr">
        <is>
          <t>P016</t>
        </is>
      </c>
      <c r="B20" s="59" t="inlineStr">
        <is>
          <t>Etiqueta térmica 100x150 (rolo)</t>
        </is>
      </c>
      <c r="C20" s="59" t="inlineStr">
        <is>
          <t>Embalagem e Expedição</t>
        </is>
      </c>
      <c r="D20" s="59" t="inlineStr">
        <is>
          <t>EmbalaNorte</t>
        </is>
      </c>
      <c r="E20" s="60" t="n">
        <v>18.7</v>
      </c>
      <c r="F20" s="61" t="n">
        <v>50</v>
      </c>
      <c r="G20" s="61" t="n">
        <v>20</v>
      </c>
      <c r="H20" s="61" t="n">
        <v>80</v>
      </c>
      <c r="I20" s="58" t="inlineStr">
        <is>
          <t>D-01-03</t>
        </is>
      </c>
    </row>
    <row r="21">
      <c r="A21" s="58" t="inlineStr">
        <is>
          <t>P017</t>
        </is>
      </c>
      <c r="B21" s="59" t="inlineStr">
        <is>
          <t>Caixa de papelão 40x30x20</t>
        </is>
      </c>
      <c r="C21" s="59" t="inlineStr">
        <is>
          <t>Embalagem e Expedição</t>
        </is>
      </c>
      <c r="D21" s="59" t="inlineStr">
        <is>
          <t>EmbalaNorte</t>
        </is>
      </c>
      <c r="E21" s="60" t="n">
        <v>4.9</v>
      </c>
      <c r="F21" s="61" t="n">
        <v>200</v>
      </c>
      <c r="G21" s="61" t="n">
        <v>80</v>
      </c>
      <c r="H21" s="61" t="n">
        <v>300</v>
      </c>
      <c r="I21" s="58" t="inlineStr">
        <is>
          <t>D-02-01</t>
        </is>
      </c>
    </row>
    <row r="22">
      <c r="A22" s="58" t="inlineStr">
        <is>
          <t>P018</t>
        </is>
      </c>
      <c r="B22" s="59" t="inlineStr">
        <is>
          <t>Palete PBR de madeira</t>
        </is>
      </c>
      <c r="C22" s="59" t="inlineStr">
        <is>
          <t>Embalagem e Expedição</t>
        </is>
      </c>
      <c r="D22" s="59" t="inlineStr">
        <is>
          <t>Madepal Paletes</t>
        </is>
      </c>
      <c r="E22" s="60" t="n">
        <v>58</v>
      </c>
      <c r="F22" s="61" t="n">
        <v>30</v>
      </c>
      <c r="G22" s="61" t="n">
        <v>10</v>
      </c>
      <c r="H22" s="61" t="n">
        <v>40</v>
      </c>
      <c r="I22" s="58" t="inlineStr">
        <is>
          <t>D-02-02</t>
        </is>
      </c>
    </row>
    <row r="23">
      <c r="A23" s="58" t="inlineStr">
        <is>
          <t>P019</t>
        </is>
      </c>
      <c r="B23" s="59" t="inlineStr">
        <is>
          <t>Luva de vaqueta (par)</t>
        </is>
      </c>
      <c r="C23" s="59" t="inlineStr">
        <is>
          <t>EPI</t>
        </is>
      </c>
      <c r="D23" s="59" t="inlineStr">
        <is>
          <t>ProtegeMax EPI</t>
        </is>
      </c>
      <c r="E23" s="60" t="n">
        <v>16.5</v>
      </c>
      <c r="F23" s="61" t="n">
        <v>60</v>
      </c>
      <c r="G23" s="61" t="n">
        <v>25</v>
      </c>
      <c r="H23" s="61" t="n">
        <v>90</v>
      </c>
      <c r="I23" s="58" t="inlineStr">
        <is>
          <t>E-01-01</t>
        </is>
      </c>
    </row>
    <row r="24">
      <c r="A24" s="58" t="inlineStr">
        <is>
          <t>P020</t>
        </is>
      </c>
      <c r="B24" s="59" t="inlineStr">
        <is>
          <t>Óculos de proteção incolor</t>
        </is>
      </c>
      <c r="C24" s="59" t="inlineStr">
        <is>
          <t>EPI</t>
        </is>
      </c>
      <c r="D24" s="59" t="inlineStr">
        <is>
          <t>ProtegeMax EPI</t>
        </is>
      </c>
      <c r="E24" s="60" t="n">
        <v>9.9</v>
      </c>
      <c r="F24" s="61" t="n">
        <v>40</v>
      </c>
      <c r="G24" s="61" t="n">
        <v>15</v>
      </c>
      <c r="H24" s="61" t="n">
        <v>60</v>
      </c>
      <c r="I24" s="58" t="inlineStr">
        <is>
          <t>E-01-02</t>
        </is>
      </c>
    </row>
    <row r="25">
      <c r="A25" s="58" t="inlineStr">
        <is>
          <t>P021</t>
        </is>
      </c>
      <c r="B25" s="59" t="inlineStr">
        <is>
          <t>Capacete com jugular</t>
        </is>
      </c>
      <c r="C25" s="59" t="inlineStr">
        <is>
          <t>EPI</t>
        </is>
      </c>
      <c r="D25" s="59" t="inlineStr">
        <is>
          <t>ProtegeMax EPI</t>
        </is>
      </c>
      <c r="E25" s="60" t="n">
        <v>39</v>
      </c>
      <c r="F25" s="61" t="n">
        <v>20</v>
      </c>
      <c r="G25" s="61" t="n">
        <v>8</v>
      </c>
      <c r="H25" s="61" t="n">
        <v>30</v>
      </c>
      <c r="I25" s="58" t="inlineStr">
        <is>
          <t>E-01-03</t>
        </is>
      </c>
    </row>
    <row r="26">
      <c r="A26" s="58" t="inlineStr">
        <is>
          <t>P022</t>
        </is>
      </c>
      <c r="B26" s="59" t="inlineStr">
        <is>
          <t>Cinto paraquedista</t>
        </is>
      </c>
      <c r="C26" s="59" t="inlineStr">
        <is>
          <t>EPI</t>
        </is>
      </c>
      <c r="D26" s="59" t="inlineStr">
        <is>
          <t>ProtegeMax EPI</t>
        </is>
      </c>
      <c r="E26" s="60" t="n">
        <v>289</v>
      </c>
      <c r="F26" s="61" t="n">
        <v>8</v>
      </c>
      <c r="G26" s="61" t="n">
        <v>4</v>
      </c>
      <c r="H26" s="61" t="n">
        <v>12</v>
      </c>
      <c r="I26" s="58" t="inlineStr">
        <is>
          <t>E-02-01</t>
        </is>
      </c>
    </row>
    <row r="27">
      <c r="A27" s="58" t="inlineStr">
        <is>
          <t>P023</t>
        </is>
      </c>
      <c r="B27" s="59" t="inlineStr">
        <is>
          <t>Bota de segurança</t>
        </is>
      </c>
      <c r="C27" s="59" t="inlineStr">
        <is>
          <t>EPI</t>
        </is>
      </c>
      <c r="D27" s="59" t="inlineStr">
        <is>
          <t>ProtegeMax EPI</t>
        </is>
      </c>
      <c r="E27" s="60" t="n">
        <v>119</v>
      </c>
      <c r="F27" s="61" t="n">
        <v>18</v>
      </c>
      <c r="G27" s="61" t="n">
        <v>8</v>
      </c>
      <c r="H27" s="61" t="n">
        <v>26</v>
      </c>
      <c r="I27" s="58" t="inlineStr">
        <is>
          <t>E-02-02</t>
        </is>
      </c>
    </row>
    <row r="28">
      <c r="A28" s="58" t="inlineStr">
        <is>
          <t>P024</t>
        </is>
      </c>
      <c r="B28" s="59" t="inlineStr">
        <is>
          <t>Abraçadeira de nylon 200 mm (pct)</t>
        </is>
      </c>
      <c r="C28" s="59" t="inlineStr">
        <is>
          <t>Materiais Elétricos</t>
        </is>
      </c>
      <c r="D28" s="59" t="inlineStr">
        <is>
          <t>EletroCapibaribe</t>
        </is>
      </c>
      <c r="E28" s="60" t="n">
        <v>12</v>
      </c>
      <c r="F28" s="61" t="n">
        <v>60</v>
      </c>
      <c r="G28" s="61" t="n">
        <v>25</v>
      </c>
      <c r="H28" s="61" t="n">
        <v>90</v>
      </c>
      <c r="I28" s="58" t="inlineStr">
        <is>
          <t>F-01-01</t>
        </is>
      </c>
    </row>
    <row r="29">
      <c r="A29" s="58" t="inlineStr">
        <is>
          <t>P025</t>
        </is>
      </c>
      <c r="B29" s="59" t="inlineStr">
        <is>
          <t>Fita isolante 20 m</t>
        </is>
      </c>
      <c r="C29" s="59" t="inlineStr">
        <is>
          <t>Materiais Elétricos</t>
        </is>
      </c>
      <c r="D29" s="59" t="inlineStr">
        <is>
          <t>EletroCapibaribe</t>
        </is>
      </c>
      <c r="E29" s="60" t="n">
        <v>7.5</v>
      </c>
      <c r="F29" s="61" t="n">
        <v>80</v>
      </c>
      <c r="G29" s="61" t="n">
        <v>30</v>
      </c>
      <c r="H29" s="61" t="n">
        <v>120</v>
      </c>
      <c r="I29" s="58" t="inlineStr">
        <is>
          <t>F-01-02</t>
        </is>
      </c>
    </row>
    <row r="30">
      <c r="A30" s="58" t="inlineStr">
        <is>
          <t>P026</t>
        </is>
      </c>
      <c r="B30" s="59" t="inlineStr">
        <is>
          <t>Cabo PP 2x1,5 mm (100 m)</t>
        </is>
      </c>
      <c r="C30" s="59" t="inlineStr">
        <is>
          <t>Materiais Elétricos</t>
        </is>
      </c>
      <c r="D30" s="59" t="inlineStr">
        <is>
          <t>EletroCapibaribe</t>
        </is>
      </c>
      <c r="E30" s="60" t="n">
        <v>210</v>
      </c>
      <c r="F30" s="61" t="n">
        <v>8</v>
      </c>
      <c r="G30" s="61" t="n">
        <v>3</v>
      </c>
      <c r="H30" s="61" t="n">
        <v>12</v>
      </c>
      <c r="I30" s="58" t="inlineStr">
        <is>
          <t>F-01-03</t>
        </is>
      </c>
    </row>
    <row r="31">
      <c r="A31" s="58" t="inlineStr">
        <is>
          <t>P027</t>
        </is>
      </c>
      <c r="B31" s="59" t="inlineStr">
        <is>
          <t>Disjuntor bipolar 20 A</t>
        </is>
      </c>
      <c r="C31" s="59" t="inlineStr">
        <is>
          <t>Materiais Elétricos</t>
        </is>
      </c>
      <c r="D31" s="59" t="inlineStr">
        <is>
          <t>EletroCapibaribe</t>
        </is>
      </c>
      <c r="E31" s="60" t="n">
        <v>34</v>
      </c>
      <c r="F31" s="61" t="n">
        <v>15</v>
      </c>
      <c r="G31" s="61" t="n">
        <v>6</v>
      </c>
      <c r="H31" s="61" t="n">
        <v>24</v>
      </c>
      <c r="I31" s="58" t="inlineStr">
        <is>
          <t>F-02-01</t>
        </is>
      </c>
    </row>
    <row r="32">
      <c r="A32" s="58" t="inlineStr">
        <is>
          <t>P028</t>
        </is>
      </c>
      <c r="B32" s="59" t="inlineStr">
        <is>
          <t>Papel A4 (resma 500 fls)</t>
        </is>
      </c>
      <c r="C32" s="59" t="inlineStr">
        <is>
          <t>Escritório e Limpeza</t>
        </is>
      </c>
      <c r="D32" s="59" t="inlineStr">
        <is>
          <t>Papelaria Recife Sul</t>
        </is>
      </c>
      <c r="E32" s="60" t="n">
        <v>27.9</v>
      </c>
      <c r="F32" s="61" t="n">
        <v>30</v>
      </c>
      <c r="G32" s="61" t="n">
        <v>12</v>
      </c>
      <c r="H32" s="61" t="n">
        <v>45</v>
      </c>
      <c r="I32" s="58" t="inlineStr">
        <is>
          <t>G-01-01</t>
        </is>
      </c>
    </row>
    <row r="33">
      <c r="A33" s="58" t="inlineStr">
        <is>
          <t>P029</t>
        </is>
      </c>
      <c r="B33" s="59" t="inlineStr">
        <is>
          <t>Toner para impressora</t>
        </is>
      </c>
      <c r="C33" s="59" t="inlineStr">
        <is>
          <t>Escritório e Limpeza</t>
        </is>
      </c>
      <c r="D33" s="59" t="inlineStr">
        <is>
          <t>Papelaria Recife Sul</t>
        </is>
      </c>
      <c r="E33" s="60" t="n">
        <v>149</v>
      </c>
      <c r="F33" s="61" t="n">
        <v>6</v>
      </c>
      <c r="G33" s="61" t="n">
        <v>3</v>
      </c>
      <c r="H33" s="61" t="n">
        <v>10</v>
      </c>
      <c r="I33" s="58" t="inlineStr">
        <is>
          <t>G-01-02</t>
        </is>
      </c>
    </row>
    <row r="34">
      <c r="A34" s="58" t="inlineStr">
        <is>
          <t>P030</t>
        </is>
      </c>
      <c r="B34" s="59" t="inlineStr">
        <is>
          <t>Álcool isopropílico 1 L</t>
        </is>
      </c>
      <c r="C34" s="59" t="inlineStr">
        <is>
          <t>Escritório e Limpeza</t>
        </is>
      </c>
      <c r="D34" s="59" t="inlineStr">
        <is>
          <t>Higiclean Distribuidora</t>
        </is>
      </c>
      <c r="E34" s="60" t="n">
        <v>29.5</v>
      </c>
      <c r="F34" s="61" t="n">
        <v>24</v>
      </c>
      <c r="G34" s="61" t="n">
        <v>10</v>
      </c>
      <c r="H34" s="61" t="n">
        <v>36</v>
      </c>
      <c r="I34" s="58" t="inlineStr">
        <is>
          <t>G-01-03</t>
        </is>
      </c>
    </row>
    <row r="35">
      <c r="A35" s="58" t="n"/>
      <c r="B35" s="59" t="n"/>
      <c r="C35" s="59" t="n"/>
      <c r="D35" s="59" t="n"/>
      <c r="E35" s="60" t="n"/>
      <c r="F35" s="61" t="n"/>
      <c r="G35" s="61" t="n"/>
      <c r="H35" s="61" t="n"/>
      <c r="I35" s="58" t="n"/>
    </row>
    <row r="36">
      <c r="A36" s="58" t="n"/>
      <c r="B36" s="59" t="n"/>
      <c r="C36" s="59" t="n"/>
      <c r="D36" s="59" t="n"/>
      <c r="E36" s="60" t="n"/>
      <c r="F36" s="61" t="n"/>
      <c r="G36" s="61" t="n"/>
      <c r="H36" s="61" t="n"/>
      <c r="I36" s="58" t="n"/>
    </row>
    <row r="37">
      <c r="A37" s="58" t="n"/>
      <c r="B37" s="59" t="n"/>
      <c r="C37" s="59" t="n"/>
      <c r="D37" s="59" t="n"/>
      <c r="E37" s="60" t="n"/>
      <c r="F37" s="61" t="n"/>
      <c r="G37" s="61" t="n"/>
      <c r="H37" s="61" t="n"/>
      <c r="I37" s="58" t="n"/>
    </row>
    <row r="38">
      <c r="A38" s="58" t="n"/>
      <c r="B38" s="59" t="n"/>
      <c r="C38" s="59" t="n"/>
      <c r="D38" s="59" t="n"/>
      <c r="E38" s="60" t="n"/>
      <c r="F38" s="61" t="n"/>
      <c r="G38" s="61" t="n"/>
      <c r="H38" s="61" t="n"/>
      <c r="I38" s="58" t="n"/>
    </row>
    <row r="39">
      <c r="A39" s="58" t="n"/>
      <c r="B39" s="59" t="n"/>
      <c r="C39" s="59" t="n"/>
      <c r="D39" s="59" t="n"/>
      <c r="E39" s="60" t="n"/>
      <c r="F39" s="61" t="n"/>
      <c r="G39" s="61" t="n"/>
      <c r="H39" s="61" t="n"/>
      <c r="I39" s="58" t="n"/>
    </row>
    <row r="40">
      <c r="A40" s="58" t="n"/>
      <c r="B40" s="59" t="n"/>
      <c r="C40" s="59" t="n"/>
      <c r="D40" s="59" t="n"/>
      <c r="E40" s="60" t="n"/>
      <c r="F40" s="61" t="n"/>
      <c r="G40" s="61" t="n"/>
      <c r="H40" s="61" t="n"/>
      <c r="I40" s="58" t="n"/>
    </row>
    <row r="41">
      <c r="A41" s="58" t="n"/>
      <c r="B41" s="59" t="n"/>
      <c r="C41" s="59" t="n"/>
      <c r="D41" s="59" t="n"/>
      <c r="E41" s="60" t="n"/>
      <c r="F41" s="61" t="n"/>
      <c r="G41" s="61" t="n"/>
      <c r="H41" s="61" t="n"/>
      <c r="I41" s="58" t="n"/>
    </row>
    <row r="42">
      <c r="A42" s="58" t="n"/>
      <c r="B42" s="59" t="n"/>
      <c r="C42" s="59" t="n"/>
      <c r="D42" s="59" t="n"/>
      <c r="E42" s="60" t="n"/>
      <c r="F42" s="61" t="n"/>
      <c r="G42" s="61" t="n"/>
      <c r="H42" s="61" t="n"/>
      <c r="I42" s="58" t="n"/>
    </row>
    <row r="43">
      <c r="A43" s="58" t="n"/>
      <c r="B43" s="59" t="n"/>
      <c r="C43" s="59" t="n"/>
      <c r="D43" s="59" t="n"/>
      <c r="E43" s="60" t="n"/>
      <c r="F43" s="61" t="n"/>
      <c r="G43" s="61" t="n"/>
      <c r="H43" s="61" t="n"/>
      <c r="I43" s="58" t="n"/>
    </row>
    <row r="44">
      <c r="A44" s="58" t="n"/>
      <c r="B44" s="59" t="n"/>
      <c r="C44" s="59" t="n"/>
      <c r="D44" s="59" t="n"/>
      <c r="E44" s="60" t="n"/>
      <c r="F44" s="61" t="n"/>
      <c r="G44" s="61" t="n"/>
      <c r="H44" s="61" t="n"/>
      <c r="I44" s="58" t="n"/>
    </row>
    <row r="45">
      <c r="A45" s="58" t="n"/>
      <c r="B45" s="59" t="n"/>
      <c r="C45" s="59" t="n"/>
      <c r="D45" s="59" t="n"/>
      <c r="E45" s="60" t="n"/>
      <c r="F45" s="61" t="n"/>
      <c r="G45" s="61" t="n"/>
      <c r="H45" s="61" t="n"/>
      <c r="I45" s="58" t="n"/>
    </row>
    <row r="46">
      <c r="A46" s="58" t="n"/>
      <c r="B46" s="59" t="n"/>
      <c r="C46" s="59" t="n"/>
      <c r="D46" s="59" t="n"/>
      <c r="E46" s="60" t="n"/>
      <c r="F46" s="61" t="n"/>
      <c r="G46" s="61" t="n"/>
      <c r="H46" s="61" t="n"/>
      <c r="I46" s="58" t="n"/>
    </row>
    <row r="47">
      <c r="A47" s="58" t="n"/>
      <c r="B47" s="59" t="n"/>
      <c r="C47" s="59" t="n"/>
      <c r="D47" s="59" t="n"/>
      <c r="E47" s="60" t="n"/>
      <c r="F47" s="61" t="n"/>
      <c r="G47" s="61" t="n"/>
      <c r="H47" s="61" t="n"/>
      <c r="I47" s="58" t="n"/>
    </row>
    <row r="48">
      <c r="A48" s="58" t="n"/>
      <c r="B48" s="59" t="n"/>
      <c r="C48" s="59" t="n"/>
      <c r="D48" s="59" t="n"/>
      <c r="E48" s="60" t="n"/>
      <c r="F48" s="61" t="n"/>
      <c r="G48" s="61" t="n"/>
      <c r="H48" s="61" t="n"/>
      <c r="I48" s="58" t="n"/>
    </row>
    <row r="49">
      <c r="A49" s="58" t="n"/>
      <c r="B49" s="59" t="n"/>
      <c r="C49" s="59" t="n"/>
      <c r="D49" s="59" t="n"/>
      <c r="E49" s="60" t="n"/>
      <c r="F49" s="61" t="n"/>
      <c r="G49" s="61" t="n"/>
      <c r="H49" s="61" t="n"/>
      <c r="I49" s="58" t="n"/>
    </row>
    <row r="50">
      <c r="A50" s="58" t="n"/>
      <c r="B50" s="59" t="n"/>
      <c r="C50" s="59" t="n"/>
      <c r="D50" s="59" t="n"/>
      <c r="E50" s="60" t="n"/>
      <c r="F50" s="61" t="n"/>
      <c r="G50" s="61" t="n"/>
      <c r="H50" s="61" t="n"/>
      <c r="I50" s="58" t="n"/>
    </row>
    <row r="51">
      <c r="A51" s="58" t="n"/>
      <c r="B51" s="59" t="n"/>
      <c r="C51" s="59" t="n"/>
      <c r="D51" s="59" t="n"/>
      <c r="E51" s="60" t="n"/>
      <c r="F51" s="61" t="n"/>
      <c r="G51" s="61" t="n"/>
      <c r="H51" s="61" t="n"/>
      <c r="I51" s="58" t="n"/>
    </row>
    <row r="52">
      <c r="A52" s="58" t="n"/>
      <c r="B52" s="59" t="n"/>
      <c r="C52" s="59" t="n"/>
      <c r="D52" s="59" t="n"/>
      <c r="E52" s="60" t="n"/>
      <c r="F52" s="61" t="n"/>
      <c r="G52" s="61" t="n"/>
      <c r="H52" s="61" t="n"/>
      <c r="I52" s="58" t="n"/>
    </row>
    <row r="53">
      <c r="A53" s="58" t="n"/>
      <c r="B53" s="59" t="n"/>
      <c r="C53" s="59" t="n"/>
      <c r="D53" s="59" t="n"/>
      <c r="E53" s="60" t="n"/>
      <c r="F53" s="61" t="n"/>
      <c r="G53" s="61" t="n"/>
      <c r="H53" s="61" t="n"/>
      <c r="I53" s="58" t="n"/>
    </row>
    <row r="54">
      <c r="A54" s="58" t="n"/>
      <c r="B54" s="59" t="n"/>
      <c r="C54" s="59" t="n"/>
      <c r="D54" s="59" t="n"/>
      <c r="E54" s="60" t="n"/>
      <c r="F54" s="61" t="n"/>
      <c r="G54" s="61" t="n"/>
      <c r="H54" s="61" t="n"/>
      <c r="I54" s="58" t="n"/>
    </row>
    <row r="55">
      <c r="A55" s="58" t="n"/>
      <c r="B55" s="59" t="n"/>
      <c r="C55" s="59" t="n"/>
      <c r="D55" s="59" t="n"/>
      <c r="E55" s="60" t="n"/>
      <c r="F55" s="61" t="n"/>
      <c r="G55" s="61" t="n"/>
      <c r="H55" s="61" t="n"/>
      <c r="I55" s="58" t="n"/>
    </row>
    <row r="56">
      <c r="A56" s="58" t="n"/>
      <c r="B56" s="59" t="n"/>
      <c r="C56" s="59" t="n"/>
      <c r="D56" s="59" t="n"/>
      <c r="E56" s="60" t="n"/>
      <c r="F56" s="61" t="n"/>
      <c r="G56" s="61" t="n"/>
      <c r="H56" s="61" t="n"/>
      <c r="I56" s="58" t="n"/>
    </row>
    <row r="57">
      <c r="A57" s="58" t="n"/>
      <c r="B57" s="59" t="n"/>
      <c r="C57" s="59" t="n"/>
      <c r="D57" s="59" t="n"/>
      <c r="E57" s="60" t="n"/>
      <c r="F57" s="61" t="n"/>
      <c r="G57" s="61" t="n"/>
      <c r="H57" s="61" t="n"/>
      <c r="I57" s="58" t="n"/>
    </row>
    <row r="58">
      <c r="A58" s="58" t="n"/>
      <c r="B58" s="59" t="n"/>
      <c r="C58" s="59" t="n"/>
      <c r="D58" s="59" t="n"/>
      <c r="E58" s="60" t="n"/>
      <c r="F58" s="61" t="n"/>
      <c r="G58" s="61" t="n"/>
      <c r="H58" s="61" t="n"/>
      <c r="I58" s="58" t="n"/>
    </row>
    <row r="59">
      <c r="A59" s="58" t="n"/>
      <c r="B59" s="59" t="n"/>
      <c r="C59" s="59" t="n"/>
      <c r="D59" s="59" t="n"/>
      <c r="E59" s="60" t="n"/>
      <c r="F59" s="61" t="n"/>
      <c r="G59" s="61" t="n"/>
      <c r="H59" s="61" t="n"/>
      <c r="I59" s="58" t="n"/>
    </row>
    <row r="60">
      <c r="A60" s="58" t="n"/>
      <c r="B60" s="59" t="n"/>
      <c r="C60" s="59" t="n"/>
      <c r="D60" s="59" t="n"/>
      <c r="E60" s="60" t="n"/>
      <c r="F60" s="61" t="n"/>
      <c r="G60" s="61" t="n"/>
      <c r="H60" s="61" t="n"/>
      <c r="I60" s="58" t="n"/>
    </row>
    <row r="61">
      <c r="A61" s="58" t="n"/>
      <c r="B61" s="59" t="n"/>
      <c r="C61" s="59" t="n"/>
      <c r="D61" s="59" t="n"/>
      <c r="E61" s="60" t="n"/>
      <c r="F61" s="61" t="n"/>
      <c r="G61" s="61" t="n"/>
      <c r="H61" s="61" t="n"/>
      <c r="I61" s="58" t="n"/>
    </row>
    <row r="62">
      <c r="A62" s="58" t="n"/>
      <c r="B62" s="59" t="n"/>
      <c r="C62" s="59" t="n"/>
      <c r="D62" s="59" t="n"/>
      <c r="E62" s="60" t="n"/>
      <c r="F62" s="61" t="n"/>
      <c r="G62" s="61" t="n"/>
      <c r="H62" s="61" t="n"/>
      <c r="I62" s="58" t="n"/>
    </row>
    <row r="63">
      <c r="A63" s="58" t="n"/>
      <c r="B63" s="59" t="n"/>
      <c r="C63" s="59" t="n"/>
      <c r="D63" s="59" t="n"/>
      <c r="E63" s="60" t="n"/>
      <c r="F63" s="61" t="n"/>
      <c r="G63" s="61" t="n"/>
      <c r="H63" s="61" t="n"/>
      <c r="I63" s="58" t="n"/>
    </row>
    <row r="64">
      <c r="A64" s="58" t="n"/>
      <c r="B64" s="59" t="n"/>
      <c r="C64" s="59" t="n"/>
      <c r="D64" s="59" t="n"/>
      <c r="E64" s="60" t="n"/>
      <c r="F64" s="61" t="n"/>
      <c r="G64" s="61" t="n"/>
      <c r="H64" s="61" t="n"/>
      <c r="I64" s="58" t="n"/>
    </row>
    <row r="65">
      <c r="A65" s="58" t="n"/>
      <c r="B65" s="59" t="n"/>
      <c r="C65" s="59" t="n"/>
      <c r="D65" s="59" t="n"/>
      <c r="E65" s="60" t="n"/>
      <c r="F65" s="61" t="n"/>
      <c r="G65" s="61" t="n"/>
      <c r="H65" s="61" t="n"/>
      <c r="I65" s="58" t="n"/>
    </row>
    <row r="66">
      <c r="A66" s="58" t="n"/>
      <c r="B66" s="59" t="n"/>
      <c r="C66" s="59" t="n"/>
      <c r="D66" s="59" t="n"/>
      <c r="E66" s="60" t="n"/>
      <c r="F66" s="61" t="n"/>
      <c r="G66" s="61" t="n"/>
      <c r="H66" s="61" t="n"/>
      <c r="I66" s="58" t="n"/>
    </row>
    <row r="67">
      <c r="A67" s="58" t="n"/>
      <c r="B67" s="59" t="n"/>
      <c r="C67" s="59" t="n"/>
      <c r="D67" s="59" t="n"/>
      <c r="E67" s="60" t="n"/>
      <c r="F67" s="61" t="n"/>
      <c r="G67" s="61" t="n"/>
      <c r="H67" s="61" t="n"/>
      <c r="I67" s="58" t="n"/>
    </row>
    <row r="68">
      <c r="A68" s="58" t="n"/>
      <c r="B68" s="59" t="n"/>
      <c r="C68" s="59" t="n"/>
      <c r="D68" s="59" t="n"/>
      <c r="E68" s="60" t="n"/>
      <c r="F68" s="61" t="n"/>
      <c r="G68" s="61" t="n"/>
      <c r="H68" s="61" t="n"/>
      <c r="I68" s="58" t="n"/>
    </row>
    <row r="69">
      <c r="A69" s="58" t="n"/>
      <c r="B69" s="59" t="n"/>
      <c r="C69" s="59" t="n"/>
      <c r="D69" s="59" t="n"/>
      <c r="E69" s="60" t="n"/>
      <c r="F69" s="61" t="n"/>
      <c r="G69" s="61" t="n"/>
      <c r="H69" s="61" t="n"/>
      <c r="I69" s="58" t="n"/>
    </row>
    <row r="70">
      <c r="A70" s="58" t="n"/>
      <c r="B70" s="59" t="n"/>
      <c r="C70" s="59" t="n"/>
      <c r="D70" s="59" t="n"/>
      <c r="E70" s="60" t="n"/>
      <c r="F70" s="61" t="n"/>
      <c r="G70" s="61" t="n"/>
      <c r="H70" s="61" t="n"/>
      <c r="I70" s="58" t="n"/>
    </row>
    <row r="71">
      <c r="A71" s="58" t="n"/>
      <c r="B71" s="59" t="n"/>
      <c r="C71" s="59" t="n"/>
      <c r="D71" s="59" t="n"/>
      <c r="E71" s="60" t="n"/>
      <c r="F71" s="61" t="n"/>
      <c r="G71" s="61" t="n"/>
      <c r="H71" s="61" t="n"/>
      <c r="I71" s="58" t="n"/>
    </row>
    <row r="72">
      <c r="A72" s="58" t="n"/>
      <c r="B72" s="59" t="n"/>
      <c r="C72" s="59" t="n"/>
      <c r="D72" s="59" t="n"/>
      <c r="E72" s="60" t="n"/>
      <c r="F72" s="61" t="n"/>
      <c r="G72" s="61" t="n"/>
      <c r="H72" s="61" t="n"/>
      <c r="I72" s="58" t="n"/>
    </row>
    <row r="73">
      <c r="A73" s="58" t="n"/>
      <c r="B73" s="59" t="n"/>
      <c r="C73" s="59" t="n"/>
      <c r="D73" s="59" t="n"/>
      <c r="E73" s="60" t="n"/>
      <c r="F73" s="61" t="n"/>
      <c r="G73" s="61" t="n"/>
      <c r="H73" s="61" t="n"/>
      <c r="I73" s="58" t="n"/>
    </row>
    <row r="74">
      <c r="A74" s="58" t="n"/>
      <c r="B74" s="59" t="n"/>
      <c r="C74" s="59" t="n"/>
      <c r="D74" s="59" t="n"/>
      <c r="E74" s="60" t="n"/>
      <c r="F74" s="61" t="n"/>
      <c r="G74" s="61" t="n"/>
      <c r="H74" s="61" t="n"/>
      <c r="I74" s="58" t="n"/>
    </row>
    <row r="75">
      <c r="A75" s="58" t="n"/>
      <c r="B75" s="59" t="n"/>
      <c r="C75" s="59" t="n"/>
      <c r="D75" s="59" t="n"/>
      <c r="E75" s="60" t="n"/>
      <c r="F75" s="61" t="n"/>
      <c r="G75" s="61" t="n"/>
      <c r="H75" s="61" t="n"/>
      <c r="I75" s="58" t="n"/>
    </row>
    <row r="76">
      <c r="A76" s="58" t="n"/>
      <c r="B76" s="59" t="n"/>
      <c r="C76" s="59" t="n"/>
      <c r="D76" s="59" t="n"/>
      <c r="E76" s="60" t="n"/>
      <c r="F76" s="61" t="n"/>
      <c r="G76" s="61" t="n"/>
      <c r="H76" s="61" t="n"/>
      <c r="I76" s="58" t="n"/>
    </row>
    <row r="77">
      <c r="A77" s="58" t="n"/>
      <c r="B77" s="59" t="n"/>
      <c r="C77" s="59" t="n"/>
      <c r="D77" s="59" t="n"/>
      <c r="E77" s="60" t="n"/>
      <c r="F77" s="61" t="n"/>
      <c r="G77" s="61" t="n"/>
      <c r="H77" s="61" t="n"/>
      <c r="I77" s="58" t="n"/>
    </row>
    <row r="78">
      <c r="A78" s="58" t="n"/>
      <c r="B78" s="59" t="n"/>
      <c r="C78" s="59" t="n"/>
      <c r="D78" s="59" t="n"/>
      <c r="E78" s="60" t="n"/>
      <c r="F78" s="61" t="n"/>
      <c r="G78" s="61" t="n"/>
      <c r="H78" s="61" t="n"/>
      <c r="I78" s="58" t="n"/>
    </row>
    <row r="79">
      <c r="A79" s="58" t="n"/>
      <c r="B79" s="59" t="n"/>
      <c r="C79" s="59" t="n"/>
      <c r="D79" s="59" t="n"/>
      <c r="E79" s="60" t="n"/>
      <c r="F79" s="61" t="n"/>
      <c r="G79" s="61" t="n"/>
      <c r="H79" s="61" t="n"/>
      <c r="I79" s="58" t="n"/>
    </row>
    <row r="80">
      <c r="A80" s="58" t="n"/>
      <c r="B80" s="59" t="n"/>
      <c r="C80" s="59" t="n"/>
      <c r="D80" s="59" t="n"/>
      <c r="E80" s="60" t="n"/>
      <c r="F80" s="61" t="n"/>
      <c r="G80" s="61" t="n"/>
      <c r="H80" s="61" t="n"/>
      <c r="I80" s="58" t="n"/>
    </row>
    <row r="81">
      <c r="A81" s="58" t="n"/>
      <c r="B81" s="59" t="n"/>
      <c r="C81" s="59" t="n"/>
      <c r="D81" s="59" t="n"/>
      <c r="E81" s="60" t="n"/>
      <c r="F81" s="61" t="n"/>
      <c r="G81" s="61" t="n"/>
      <c r="H81" s="61" t="n"/>
      <c r="I81" s="58" t="n"/>
    </row>
    <row r="82">
      <c r="A82" s="58" t="n"/>
      <c r="B82" s="59" t="n"/>
      <c r="C82" s="59" t="n"/>
      <c r="D82" s="59" t="n"/>
      <c r="E82" s="60" t="n"/>
      <c r="F82" s="61" t="n"/>
      <c r="G82" s="61" t="n"/>
      <c r="H82" s="61" t="n"/>
      <c r="I82" s="58" t="n"/>
    </row>
    <row r="83">
      <c r="A83" s="58" t="n"/>
      <c r="B83" s="59" t="n"/>
      <c r="C83" s="59" t="n"/>
      <c r="D83" s="59" t="n"/>
      <c r="E83" s="60" t="n"/>
      <c r="F83" s="61" t="n"/>
      <c r="G83" s="61" t="n"/>
      <c r="H83" s="61" t="n"/>
      <c r="I83" s="58" t="n"/>
    </row>
    <row r="84">
      <c r="A84" s="58" t="n"/>
      <c r="B84" s="59" t="n"/>
      <c r="C84" s="59" t="n"/>
      <c r="D84" s="59" t="n"/>
      <c r="E84" s="60" t="n"/>
      <c r="F84" s="61" t="n"/>
      <c r="G84" s="61" t="n"/>
      <c r="H84" s="61" t="n"/>
      <c r="I84" s="58" t="n"/>
    </row>
    <row r="85">
      <c r="A85" s="58" t="n"/>
      <c r="B85" s="59" t="n"/>
      <c r="C85" s="59" t="n"/>
      <c r="D85" s="59" t="n"/>
      <c r="E85" s="60" t="n"/>
      <c r="F85" s="61" t="n"/>
      <c r="G85" s="61" t="n"/>
      <c r="H85" s="61" t="n"/>
      <c r="I85" s="58" t="n"/>
    </row>
    <row r="86">
      <c r="A86" s="58" t="n"/>
      <c r="B86" s="59" t="n"/>
      <c r="C86" s="59" t="n"/>
      <c r="D86" s="59" t="n"/>
      <c r="E86" s="60" t="n"/>
      <c r="F86" s="61" t="n"/>
      <c r="G86" s="61" t="n"/>
      <c r="H86" s="61" t="n"/>
      <c r="I86" s="58" t="n"/>
    </row>
    <row r="87">
      <c r="A87" s="58" t="n"/>
      <c r="B87" s="59" t="n"/>
      <c r="C87" s="59" t="n"/>
      <c r="D87" s="59" t="n"/>
      <c r="E87" s="60" t="n"/>
      <c r="F87" s="61" t="n"/>
      <c r="G87" s="61" t="n"/>
      <c r="H87" s="61" t="n"/>
      <c r="I87" s="58" t="n"/>
    </row>
    <row r="88">
      <c r="A88" s="58" t="n"/>
      <c r="B88" s="59" t="n"/>
      <c r="C88" s="59" t="n"/>
      <c r="D88" s="59" t="n"/>
      <c r="E88" s="60" t="n"/>
      <c r="F88" s="61" t="n"/>
      <c r="G88" s="61" t="n"/>
      <c r="H88" s="61" t="n"/>
      <c r="I88" s="58" t="n"/>
    </row>
    <row r="89">
      <c r="A89" s="58" t="n"/>
      <c r="B89" s="59" t="n"/>
      <c r="C89" s="59" t="n"/>
      <c r="D89" s="59" t="n"/>
      <c r="E89" s="60" t="n"/>
      <c r="F89" s="61" t="n"/>
      <c r="G89" s="61" t="n"/>
      <c r="H89" s="61" t="n"/>
      <c r="I89" s="58" t="n"/>
    </row>
    <row r="90">
      <c r="A90" s="58" t="n"/>
      <c r="B90" s="59" t="n"/>
      <c r="C90" s="59" t="n"/>
      <c r="D90" s="59" t="n"/>
      <c r="E90" s="60" t="n"/>
      <c r="F90" s="61" t="n"/>
      <c r="G90" s="61" t="n"/>
      <c r="H90" s="61" t="n"/>
      <c r="I90" s="58" t="n"/>
    </row>
    <row r="91">
      <c r="A91" s="58" t="n"/>
      <c r="B91" s="59" t="n"/>
      <c r="C91" s="59" t="n"/>
      <c r="D91" s="59" t="n"/>
      <c r="E91" s="60" t="n"/>
      <c r="F91" s="61" t="n"/>
      <c r="G91" s="61" t="n"/>
      <c r="H91" s="61" t="n"/>
      <c r="I91" s="58" t="n"/>
    </row>
    <row r="92">
      <c r="A92" s="58" t="n"/>
      <c r="B92" s="59" t="n"/>
      <c r="C92" s="59" t="n"/>
      <c r="D92" s="59" t="n"/>
      <c r="E92" s="60" t="n"/>
      <c r="F92" s="61" t="n"/>
      <c r="G92" s="61" t="n"/>
      <c r="H92" s="61" t="n"/>
      <c r="I92" s="58" t="n"/>
    </row>
    <row r="93">
      <c r="A93" s="58" t="n"/>
      <c r="B93" s="59" t="n"/>
      <c r="C93" s="59" t="n"/>
      <c r="D93" s="59" t="n"/>
      <c r="E93" s="60" t="n"/>
      <c r="F93" s="61" t="n"/>
      <c r="G93" s="61" t="n"/>
      <c r="H93" s="61" t="n"/>
      <c r="I93" s="58" t="n"/>
    </row>
    <row r="94">
      <c r="A94" s="58" t="n"/>
      <c r="B94" s="59" t="n"/>
      <c r="C94" s="59" t="n"/>
      <c r="D94" s="59" t="n"/>
      <c r="E94" s="60" t="n"/>
      <c r="F94" s="61" t="n"/>
      <c r="G94" s="61" t="n"/>
      <c r="H94" s="61" t="n"/>
      <c r="I94" s="58" t="n"/>
    </row>
    <row r="95">
      <c r="A95" s="58" t="n"/>
      <c r="B95" s="59" t="n"/>
      <c r="C95" s="59" t="n"/>
      <c r="D95" s="59" t="n"/>
      <c r="E95" s="60" t="n"/>
      <c r="F95" s="61" t="n"/>
      <c r="G95" s="61" t="n"/>
      <c r="H95" s="61" t="n"/>
      <c r="I95" s="58" t="n"/>
    </row>
    <row r="96">
      <c r="A96" s="58" t="n"/>
      <c r="B96" s="59" t="n"/>
      <c r="C96" s="59" t="n"/>
      <c r="D96" s="59" t="n"/>
      <c r="E96" s="60" t="n"/>
      <c r="F96" s="61" t="n"/>
      <c r="G96" s="61" t="n"/>
      <c r="H96" s="61" t="n"/>
      <c r="I96" s="58" t="n"/>
    </row>
    <row r="97">
      <c r="A97" s="58" t="n"/>
      <c r="B97" s="59" t="n"/>
      <c r="C97" s="59" t="n"/>
      <c r="D97" s="59" t="n"/>
      <c r="E97" s="60" t="n"/>
      <c r="F97" s="61" t="n"/>
      <c r="G97" s="61" t="n"/>
      <c r="H97" s="61" t="n"/>
      <c r="I97" s="58" t="n"/>
    </row>
    <row r="98">
      <c r="A98" s="58" t="n"/>
      <c r="B98" s="59" t="n"/>
      <c r="C98" s="59" t="n"/>
      <c r="D98" s="59" t="n"/>
      <c r="E98" s="60" t="n"/>
      <c r="F98" s="61" t="n"/>
      <c r="G98" s="61" t="n"/>
      <c r="H98" s="61" t="n"/>
      <c r="I98" s="58" t="n"/>
    </row>
    <row r="99">
      <c r="A99" s="58" t="n"/>
      <c r="B99" s="59" t="n"/>
      <c r="C99" s="59" t="n"/>
      <c r="D99" s="59" t="n"/>
      <c r="E99" s="60" t="n"/>
      <c r="F99" s="61" t="n"/>
      <c r="G99" s="61" t="n"/>
      <c r="H99" s="61" t="n"/>
      <c r="I99" s="58" t="n"/>
    </row>
    <row r="100">
      <c r="A100" s="58" t="n"/>
      <c r="B100" s="59" t="n"/>
      <c r="C100" s="59" t="n"/>
      <c r="D100" s="59" t="n"/>
      <c r="E100" s="60" t="n"/>
      <c r="F100" s="61" t="n"/>
      <c r="G100" s="61" t="n"/>
      <c r="H100" s="61" t="n"/>
      <c r="I100" s="58" t="n"/>
    </row>
    <row r="101">
      <c r="A101" s="58" t="n"/>
      <c r="B101" s="59" t="n"/>
      <c r="C101" s="59" t="n"/>
      <c r="D101" s="59" t="n"/>
      <c r="E101" s="60" t="n"/>
      <c r="F101" s="61" t="n"/>
      <c r="G101" s="61" t="n"/>
      <c r="H101" s="61" t="n"/>
      <c r="I101" s="58" t="n"/>
    </row>
    <row r="102">
      <c r="A102" s="58" t="n"/>
      <c r="B102" s="59" t="n"/>
      <c r="C102" s="59" t="n"/>
      <c r="D102" s="59" t="n"/>
      <c r="E102" s="60" t="n"/>
      <c r="F102" s="61" t="n"/>
      <c r="G102" s="61" t="n"/>
      <c r="H102" s="61" t="n"/>
      <c r="I102" s="58" t="n"/>
    </row>
    <row r="103">
      <c r="A103" s="58" t="n"/>
      <c r="B103" s="59" t="n"/>
      <c r="C103" s="59" t="n"/>
      <c r="D103" s="59" t="n"/>
      <c r="E103" s="60" t="n"/>
      <c r="F103" s="61" t="n"/>
      <c r="G103" s="61" t="n"/>
      <c r="H103" s="61" t="n"/>
      <c r="I103" s="58" t="n"/>
    </row>
    <row r="104">
      <c r="A104" s="58" t="n"/>
      <c r="B104" s="59" t="n"/>
      <c r="C104" s="59" t="n"/>
      <c r="D104" s="59" t="n"/>
      <c r="E104" s="60" t="n"/>
      <c r="F104" s="61" t="n"/>
      <c r="G104" s="61" t="n"/>
      <c r="H104" s="61" t="n"/>
      <c r="I104" s="58" t="n"/>
    </row>
    <row r="105">
      <c r="A105" s="58" t="n"/>
      <c r="B105" s="59" t="n"/>
      <c r="C105" s="59" t="n"/>
      <c r="D105" s="59" t="n"/>
      <c r="E105" s="60" t="n"/>
      <c r="F105" s="61" t="n"/>
      <c r="G105" s="61" t="n"/>
      <c r="H105" s="61" t="n"/>
      <c r="I105" s="58" t="n"/>
    </row>
    <row r="106">
      <c r="A106" s="58" t="n"/>
      <c r="B106" s="59" t="n"/>
      <c r="C106" s="59" t="n"/>
      <c r="D106" s="59" t="n"/>
      <c r="E106" s="60" t="n"/>
      <c r="F106" s="61" t="n"/>
      <c r="G106" s="61" t="n"/>
      <c r="H106" s="61" t="n"/>
      <c r="I106" s="58" t="n"/>
    </row>
    <row r="107">
      <c r="A107" s="58" t="n"/>
      <c r="B107" s="59" t="n"/>
      <c r="C107" s="59" t="n"/>
      <c r="D107" s="59" t="n"/>
      <c r="E107" s="60" t="n"/>
      <c r="F107" s="61" t="n"/>
      <c r="G107" s="61" t="n"/>
      <c r="H107" s="61" t="n"/>
      <c r="I107" s="58" t="n"/>
    </row>
    <row r="108">
      <c r="A108" s="58" t="n"/>
      <c r="B108" s="59" t="n"/>
      <c r="C108" s="59" t="n"/>
      <c r="D108" s="59" t="n"/>
      <c r="E108" s="60" t="n"/>
      <c r="F108" s="61" t="n"/>
      <c r="G108" s="61" t="n"/>
      <c r="H108" s="61" t="n"/>
      <c r="I108" s="58" t="n"/>
    </row>
    <row r="109">
      <c r="A109" s="58" t="n"/>
      <c r="B109" s="59" t="n"/>
      <c r="C109" s="59" t="n"/>
      <c r="D109" s="59" t="n"/>
      <c r="E109" s="60" t="n"/>
      <c r="F109" s="61" t="n"/>
      <c r="G109" s="61" t="n"/>
      <c r="H109" s="61" t="n"/>
      <c r="I109" s="58" t="n"/>
    </row>
    <row r="110">
      <c r="A110" s="58" t="n"/>
      <c r="B110" s="59" t="n"/>
      <c r="C110" s="59" t="n"/>
      <c r="D110" s="59" t="n"/>
      <c r="E110" s="60" t="n"/>
      <c r="F110" s="61" t="n"/>
      <c r="G110" s="61" t="n"/>
      <c r="H110" s="61" t="n"/>
      <c r="I110" s="58" t="n"/>
    </row>
    <row r="111">
      <c r="A111" s="58" t="n"/>
      <c r="B111" s="59" t="n"/>
      <c r="C111" s="59" t="n"/>
      <c r="D111" s="59" t="n"/>
      <c r="E111" s="60" t="n"/>
      <c r="F111" s="61" t="n"/>
      <c r="G111" s="61" t="n"/>
      <c r="H111" s="61" t="n"/>
      <c r="I111" s="58" t="n"/>
    </row>
    <row r="112">
      <c r="A112" s="58" t="n"/>
      <c r="B112" s="59" t="n"/>
      <c r="C112" s="59" t="n"/>
      <c r="D112" s="59" t="n"/>
      <c r="E112" s="60" t="n"/>
      <c r="F112" s="61" t="n"/>
      <c r="G112" s="61" t="n"/>
      <c r="H112" s="61" t="n"/>
      <c r="I112" s="58" t="n"/>
    </row>
    <row r="113">
      <c r="A113" s="58" t="n"/>
      <c r="B113" s="59" t="n"/>
      <c r="C113" s="59" t="n"/>
      <c r="D113" s="59" t="n"/>
      <c r="E113" s="60" t="n"/>
      <c r="F113" s="61" t="n"/>
      <c r="G113" s="61" t="n"/>
      <c r="H113" s="61" t="n"/>
      <c r="I113" s="58" t="n"/>
    </row>
    <row r="114">
      <c r="A114" s="58" t="n"/>
      <c r="B114" s="59" t="n"/>
      <c r="C114" s="59" t="n"/>
      <c r="D114" s="59" t="n"/>
      <c r="E114" s="60" t="n"/>
      <c r="F114" s="61" t="n"/>
      <c r="G114" s="61" t="n"/>
      <c r="H114" s="61" t="n"/>
      <c r="I114" s="58" t="n"/>
    </row>
    <row r="115">
      <c r="A115" s="58" t="n"/>
      <c r="B115" s="59" t="n"/>
      <c r="C115" s="59" t="n"/>
      <c r="D115" s="59" t="n"/>
      <c r="E115" s="60" t="n"/>
      <c r="F115" s="61" t="n"/>
      <c r="G115" s="61" t="n"/>
      <c r="H115" s="61" t="n"/>
      <c r="I115" s="58" t="n"/>
    </row>
    <row r="116">
      <c r="A116" s="58" t="n"/>
      <c r="B116" s="59" t="n"/>
      <c r="C116" s="59" t="n"/>
      <c r="D116" s="59" t="n"/>
      <c r="E116" s="60" t="n"/>
      <c r="F116" s="61" t="n"/>
      <c r="G116" s="61" t="n"/>
      <c r="H116" s="61" t="n"/>
      <c r="I116" s="58" t="n"/>
    </row>
    <row r="117">
      <c r="A117" s="58" t="n"/>
      <c r="B117" s="59" t="n"/>
      <c r="C117" s="59" t="n"/>
      <c r="D117" s="59" t="n"/>
      <c r="E117" s="60" t="n"/>
      <c r="F117" s="61" t="n"/>
      <c r="G117" s="61" t="n"/>
      <c r="H117" s="61" t="n"/>
      <c r="I117" s="58" t="n"/>
    </row>
    <row r="118">
      <c r="A118" s="58" t="n"/>
      <c r="B118" s="59" t="n"/>
      <c r="C118" s="59" t="n"/>
      <c r="D118" s="59" t="n"/>
      <c r="E118" s="60" t="n"/>
      <c r="F118" s="61" t="n"/>
      <c r="G118" s="61" t="n"/>
      <c r="H118" s="61" t="n"/>
      <c r="I118" s="58" t="n"/>
    </row>
    <row r="119">
      <c r="A119" s="58" t="n"/>
      <c r="B119" s="59" t="n"/>
      <c r="C119" s="59" t="n"/>
      <c r="D119" s="59" t="n"/>
      <c r="E119" s="60" t="n"/>
      <c r="F119" s="61" t="n"/>
      <c r="G119" s="61" t="n"/>
      <c r="H119" s="61" t="n"/>
      <c r="I119" s="58" t="n"/>
    </row>
    <row r="120">
      <c r="A120" s="58" t="n"/>
      <c r="B120" s="59" t="n"/>
      <c r="C120" s="59" t="n"/>
      <c r="D120" s="59" t="n"/>
      <c r="E120" s="60" t="n"/>
      <c r="F120" s="61" t="n"/>
      <c r="G120" s="61" t="n"/>
      <c r="H120" s="61" t="n"/>
      <c r="I120" s="58" t="n"/>
    </row>
    <row r="121">
      <c r="A121" s="58" t="n"/>
      <c r="B121" s="59" t="n"/>
      <c r="C121" s="59" t="n"/>
      <c r="D121" s="59" t="n"/>
      <c r="E121" s="60" t="n"/>
      <c r="F121" s="61" t="n"/>
      <c r="G121" s="61" t="n"/>
      <c r="H121" s="61" t="n"/>
      <c r="I121" s="58" t="n"/>
    </row>
    <row r="122">
      <c r="A122" s="58" t="n"/>
      <c r="B122" s="59" t="n"/>
      <c r="C122" s="59" t="n"/>
      <c r="D122" s="59" t="n"/>
      <c r="E122" s="60" t="n"/>
      <c r="F122" s="61" t="n"/>
      <c r="G122" s="61" t="n"/>
      <c r="H122" s="61" t="n"/>
      <c r="I122" s="58" t="n"/>
    </row>
    <row r="123">
      <c r="A123" s="58" t="n"/>
      <c r="B123" s="59" t="n"/>
      <c r="C123" s="59" t="n"/>
      <c r="D123" s="59" t="n"/>
      <c r="E123" s="60" t="n"/>
      <c r="F123" s="61" t="n"/>
      <c r="G123" s="61" t="n"/>
      <c r="H123" s="61" t="n"/>
      <c r="I123" s="58" t="n"/>
    </row>
    <row r="124">
      <c r="A124" s="58" t="n"/>
      <c r="B124" s="59" t="n"/>
      <c r="C124" s="59" t="n"/>
      <c r="D124" s="59" t="n"/>
      <c r="E124" s="60" t="n"/>
      <c r="F124" s="61" t="n"/>
      <c r="G124" s="61" t="n"/>
      <c r="H124" s="61" t="n"/>
      <c r="I124" s="58" t="n"/>
    </row>
    <row r="125">
      <c r="A125" s="58" t="n"/>
      <c r="B125" s="59" t="n"/>
      <c r="C125" s="59" t="n"/>
      <c r="D125" s="59" t="n"/>
      <c r="E125" s="60" t="n"/>
      <c r="F125" s="61" t="n"/>
      <c r="G125" s="61" t="n"/>
      <c r="H125" s="61" t="n"/>
      <c r="I125" s="58" t="n"/>
    </row>
    <row r="126">
      <c r="A126" s="58" t="n"/>
      <c r="B126" s="59" t="n"/>
      <c r="C126" s="59" t="n"/>
      <c r="D126" s="59" t="n"/>
      <c r="E126" s="60" t="n"/>
      <c r="F126" s="61" t="n"/>
      <c r="G126" s="61" t="n"/>
      <c r="H126" s="61" t="n"/>
      <c r="I126" s="58" t="n"/>
    </row>
    <row r="127">
      <c r="A127" s="58" t="n"/>
      <c r="B127" s="59" t="n"/>
      <c r="C127" s="59" t="n"/>
      <c r="D127" s="59" t="n"/>
      <c r="E127" s="60" t="n"/>
      <c r="F127" s="61" t="n"/>
      <c r="G127" s="61" t="n"/>
      <c r="H127" s="61" t="n"/>
      <c r="I127" s="58" t="n"/>
    </row>
    <row r="128">
      <c r="A128" s="58" t="n"/>
      <c r="B128" s="59" t="n"/>
      <c r="C128" s="59" t="n"/>
      <c r="D128" s="59" t="n"/>
      <c r="E128" s="60" t="n"/>
      <c r="F128" s="61" t="n"/>
      <c r="G128" s="61" t="n"/>
      <c r="H128" s="61" t="n"/>
      <c r="I128" s="58" t="n"/>
    </row>
    <row r="129">
      <c r="A129" s="58" t="n"/>
      <c r="B129" s="59" t="n"/>
      <c r="C129" s="59" t="n"/>
      <c r="D129" s="59" t="n"/>
      <c r="E129" s="60" t="n"/>
      <c r="F129" s="61" t="n"/>
      <c r="G129" s="61" t="n"/>
      <c r="H129" s="61" t="n"/>
      <c r="I129" s="58" t="n"/>
    </row>
    <row r="130">
      <c r="A130" s="58" t="n"/>
      <c r="B130" s="59" t="n"/>
      <c r="C130" s="59" t="n"/>
      <c r="D130" s="59" t="n"/>
      <c r="E130" s="60" t="n"/>
      <c r="F130" s="61" t="n"/>
      <c r="G130" s="61" t="n"/>
      <c r="H130" s="61" t="n"/>
      <c r="I130" s="58" t="n"/>
    </row>
    <row r="131">
      <c r="A131" s="58" t="n"/>
      <c r="B131" s="59" t="n"/>
      <c r="C131" s="59" t="n"/>
      <c r="D131" s="59" t="n"/>
      <c r="E131" s="60" t="n"/>
      <c r="F131" s="61" t="n"/>
      <c r="G131" s="61" t="n"/>
      <c r="H131" s="61" t="n"/>
      <c r="I131" s="58" t="n"/>
    </row>
    <row r="132">
      <c r="A132" s="58" t="n"/>
      <c r="B132" s="59" t="n"/>
      <c r="C132" s="59" t="n"/>
      <c r="D132" s="59" t="n"/>
      <c r="E132" s="60" t="n"/>
      <c r="F132" s="61" t="n"/>
      <c r="G132" s="61" t="n"/>
      <c r="H132" s="61" t="n"/>
      <c r="I132" s="58" t="n"/>
    </row>
    <row r="133">
      <c r="A133" s="58" t="n"/>
      <c r="B133" s="59" t="n"/>
      <c r="C133" s="59" t="n"/>
      <c r="D133" s="59" t="n"/>
      <c r="E133" s="60" t="n"/>
      <c r="F133" s="61" t="n"/>
      <c r="G133" s="61" t="n"/>
      <c r="H133" s="61" t="n"/>
      <c r="I133" s="58" t="n"/>
    </row>
    <row r="134">
      <c r="A134" s="58" t="n"/>
      <c r="B134" s="59" t="n"/>
      <c r="C134" s="59" t="n"/>
      <c r="D134" s="59" t="n"/>
      <c r="E134" s="60" t="n"/>
      <c r="F134" s="61" t="n"/>
      <c r="G134" s="61" t="n"/>
      <c r="H134" s="61" t="n"/>
      <c r="I134" s="58" t="n"/>
    </row>
    <row r="135">
      <c r="A135" s="58" t="n"/>
      <c r="B135" s="59" t="n"/>
      <c r="C135" s="59" t="n"/>
      <c r="D135" s="59" t="n"/>
      <c r="E135" s="60" t="n"/>
      <c r="F135" s="61" t="n"/>
      <c r="G135" s="61" t="n"/>
      <c r="H135" s="61" t="n"/>
      <c r="I135" s="58" t="n"/>
    </row>
    <row r="136">
      <c r="A136" s="58" t="n"/>
      <c r="B136" s="59" t="n"/>
      <c r="C136" s="59" t="n"/>
      <c r="D136" s="59" t="n"/>
      <c r="E136" s="60" t="n"/>
      <c r="F136" s="61" t="n"/>
      <c r="G136" s="61" t="n"/>
      <c r="H136" s="61" t="n"/>
      <c r="I136" s="58" t="n"/>
    </row>
    <row r="137">
      <c r="A137" s="58" t="n"/>
      <c r="B137" s="59" t="n"/>
      <c r="C137" s="59" t="n"/>
      <c r="D137" s="59" t="n"/>
      <c r="E137" s="60" t="n"/>
      <c r="F137" s="61" t="n"/>
      <c r="G137" s="61" t="n"/>
      <c r="H137" s="61" t="n"/>
      <c r="I137" s="58" t="n"/>
    </row>
    <row r="138">
      <c r="A138" s="58" t="n"/>
      <c r="B138" s="59" t="n"/>
      <c r="C138" s="59" t="n"/>
      <c r="D138" s="59" t="n"/>
      <c r="E138" s="60" t="n"/>
      <c r="F138" s="61" t="n"/>
      <c r="G138" s="61" t="n"/>
      <c r="H138" s="61" t="n"/>
      <c r="I138" s="58" t="n"/>
    </row>
    <row r="139">
      <c r="A139" s="58" t="n"/>
      <c r="B139" s="59" t="n"/>
      <c r="C139" s="59" t="n"/>
      <c r="D139" s="59" t="n"/>
      <c r="E139" s="60" t="n"/>
      <c r="F139" s="61" t="n"/>
      <c r="G139" s="61" t="n"/>
      <c r="H139" s="61" t="n"/>
      <c r="I139" s="58" t="n"/>
    </row>
    <row r="140">
      <c r="A140" s="58" t="n"/>
      <c r="B140" s="59" t="n"/>
      <c r="C140" s="59" t="n"/>
      <c r="D140" s="59" t="n"/>
      <c r="E140" s="60" t="n"/>
      <c r="F140" s="61" t="n"/>
      <c r="G140" s="61" t="n"/>
      <c r="H140" s="61" t="n"/>
      <c r="I140" s="58" t="n"/>
    </row>
    <row r="141">
      <c r="A141" s="58" t="n"/>
      <c r="B141" s="59" t="n"/>
      <c r="C141" s="59" t="n"/>
      <c r="D141" s="59" t="n"/>
      <c r="E141" s="60" t="n"/>
      <c r="F141" s="61" t="n"/>
      <c r="G141" s="61" t="n"/>
      <c r="H141" s="61" t="n"/>
      <c r="I141" s="58" t="n"/>
    </row>
    <row r="142">
      <c r="A142" s="58" t="n"/>
      <c r="B142" s="59" t="n"/>
      <c r="C142" s="59" t="n"/>
      <c r="D142" s="59" t="n"/>
      <c r="E142" s="60" t="n"/>
      <c r="F142" s="61" t="n"/>
      <c r="G142" s="61" t="n"/>
      <c r="H142" s="61" t="n"/>
      <c r="I142" s="58" t="n"/>
    </row>
    <row r="143">
      <c r="A143" s="58" t="n"/>
      <c r="B143" s="59" t="n"/>
      <c r="C143" s="59" t="n"/>
      <c r="D143" s="59" t="n"/>
      <c r="E143" s="60" t="n"/>
      <c r="F143" s="61" t="n"/>
      <c r="G143" s="61" t="n"/>
      <c r="H143" s="61" t="n"/>
      <c r="I143" s="58" t="n"/>
    </row>
    <row r="144">
      <c r="A144" s="58" t="n"/>
      <c r="B144" s="59" t="n"/>
      <c r="C144" s="59" t="n"/>
      <c r="D144" s="59" t="n"/>
      <c r="E144" s="60" t="n"/>
      <c r="F144" s="61" t="n"/>
      <c r="G144" s="61" t="n"/>
      <c r="H144" s="61" t="n"/>
      <c r="I144" s="58" t="n"/>
    </row>
    <row r="145">
      <c r="A145" s="58" t="n"/>
      <c r="B145" s="59" t="n"/>
      <c r="C145" s="59" t="n"/>
      <c r="D145" s="59" t="n"/>
      <c r="E145" s="60" t="n"/>
      <c r="F145" s="61" t="n"/>
      <c r="G145" s="61" t="n"/>
      <c r="H145" s="61" t="n"/>
      <c r="I145" s="58" t="n"/>
    </row>
    <row r="146">
      <c r="A146" s="58" t="n"/>
      <c r="B146" s="59" t="n"/>
      <c r="C146" s="59" t="n"/>
      <c r="D146" s="59" t="n"/>
      <c r="E146" s="60" t="n"/>
      <c r="F146" s="61" t="n"/>
      <c r="G146" s="61" t="n"/>
      <c r="H146" s="61" t="n"/>
      <c r="I146" s="58" t="n"/>
    </row>
    <row r="147">
      <c r="A147" s="58" t="n"/>
      <c r="B147" s="59" t="n"/>
      <c r="C147" s="59" t="n"/>
      <c r="D147" s="59" t="n"/>
      <c r="E147" s="60" t="n"/>
      <c r="F147" s="61" t="n"/>
      <c r="G147" s="61" t="n"/>
      <c r="H147" s="61" t="n"/>
      <c r="I147" s="58" t="n"/>
    </row>
    <row r="148">
      <c r="A148" s="58" t="n"/>
      <c r="B148" s="59" t="n"/>
      <c r="C148" s="59" t="n"/>
      <c r="D148" s="59" t="n"/>
      <c r="E148" s="60" t="n"/>
      <c r="F148" s="61" t="n"/>
      <c r="G148" s="61" t="n"/>
      <c r="H148" s="61" t="n"/>
      <c r="I148" s="58" t="n"/>
    </row>
    <row r="149">
      <c r="A149" s="58" t="n"/>
      <c r="B149" s="59" t="n"/>
      <c r="C149" s="59" t="n"/>
      <c r="D149" s="59" t="n"/>
      <c r="E149" s="60" t="n"/>
      <c r="F149" s="61" t="n"/>
      <c r="G149" s="61" t="n"/>
      <c r="H149" s="61" t="n"/>
      <c r="I149" s="58" t="n"/>
    </row>
    <row r="150">
      <c r="A150" s="58" t="n"/>
      <c r="B150" s="59" t="n"/>
      <c r="C150" s="59" t="n"/>
      <c r="D150" s="59" t="n"/>
      <c r="E150" s="60" t="n"/>
      <c r="F150" s="61" t="n"/>
      <c r="G150" s="61" t="n"/>
      <c r="H150" s="61" t="n"/>
      <c r="I150" s="58" t="n"/>
    </row>
    <row r="151">
      <c r="A151" s="58" t="n"/>
      <c r="B151" s="59" t="n"/>
      <c r="C151" s="59" t="n"/>
      <c r="D151" s="59" t="n"/>
      <c r="E151" s="60" t="n"/>
      <c r="F151" s="61" t="n"/>
      <c r="G151" s="61" t="n"/>
      <c r="H151" s="61" t="n"/>
      <c r="I151" s="58" t="n"/>
    </row>
    <row r="152">
      <c r="A152" s="58" t="n"/>
      <c r="B152" s="59" t="n"/>
      <c r="C152" s="59" t="n"/>
      <c r="D152" s="59" t="n"/>
      <c r="E152" s="60" t="n"/>
      <c r="F152" s="61" t="n"/>
      <c r="G152" s="61" t="n"/>
      <c r="H152" s="61" t="n"/>
      <c r="I152" s="58" t="n"/>
    </row>
    <row r="153">
      <c r="A153" s="58" t="n"/>
      <c r="B153" s="59" t="n"/>
      <c r="C153" s="59" t="n"/>
      <c r="D153" s="59" t="n"/>
      <c r="E153" s="60" t="n"/>
      <c r="F153" s="61" t="n"/>
      <c r="G153" s="61" t="n"/>
      <c r="H153" s="61" t="n"/>
      <c r="I153" s="58" t="n"/>
    </row>
    <row r="154">
      <c r="A154" s="58" t="n"/>
      <c r="B154" s="59" t="n"/>
      <c r="C154" s="59" t="n"/>
      <c r="D154" s="59" t="n"/>
      <c r="E154" s="60" t="n"/>
      <c r="F154" s="61" t="n"/>
      <c r="G154" s="61" t="n"/>
      <c r="H154" s="61" t="n"/>
      <c r="I154" s="58" t="n"/>
    </row>
    <row r="155">
      <c r="A155" s="58" t="n"/>
      <c r="B155" s="59" t="n"/>
      <c r="C155" s="59" t="n"/>
      <c r="D155" s="59" t="n"/>
      <c r="E155" s="60" t="n"/>
      <c r="F155" s="61" t="n"/>
      <c r="G155" s="61" t="n"/>
      <c r="H155" s="61" t="n"/>
      <c r="I155" s="58" t="n"/>
    </row>
    <row r="156">
      <c r="A156" s="58" t="n"/>
      <c r="B156" s="59" t="n"/>
      <c r="C156" s="59" t="n"/>
      <c r="D156" s="59" t="n"/>
      <c r="E156" s="60" t="n"/>
      <c r="F156" s="61" t="n"/>
      <c r="G156" s="61" t="n"/>
      <c r="H156" s="61" t="n"/>
      <c r="I156" s="58" t="n"/>
    </row>
    <row r="157">
      <c r="A157" s="58" t="n"/>
      <c r="B157" s="59" t="n"/>
      <c r="C157" s="59" t="n"/>
      <c r="D157" s="59" t="n"/>
      <c r="E157" s="60" t="n"/>
      <c r="F157" s="61" t="n"/>
      <c r="G157" s="61" t="n"/>
      <c r="H157" s="61" t="n"/>
      <c r="I157" s="58" t="n"/>
    </row>
    <row r="158">
      <c r="A158" s="58" t="n"/>
      <c r="B158" s="59" t="n"/>
      <c r="C158" s="59" t="n"/>
      <c r="D158" s="59" t="n"/>
      <c r="E158" s="60" t="n"/>
      <c r="F158" s="61" t="n"/>
      <c r="G158" s="61" t="n"/>
      <c r="H158" s="61" t="n"/>
      <c r="I158" s="58" t="n"/>
    </row>
    <row r="159">
      <c r="A159" s="58" t="n"/>
      <c r="B159" s="59" t="n"/>
      <c r="C159" s="59" t="n"/>
      <c r="D159" s="59" t="n"/>
      <c r="E159" s="60" t="n"/>
      <c r="F159" s="61" t="n"/>
      <c r="G159" s="61" t="n"/>
      <c r="H159" s="61" t="n"/>
      <c r="I159" s="58" t="n"/>
    </row>
    <row r="160">
      <c r="A160" s="58" t="n"/>
      <c r="B160" s="59" t="n"/>
      <c r="C160" s="59" t="n"/>
      <c r="D160" s="59" t="n"/>
      <c r="E160" s="60" t="n"/>
      <c r="F160" s="61" t="n"/>
      <c r="G160" s="61" t="n"/>
      <c r="H160" s="61" t="n"/>
      <c r="I160" s="58" t="n"/>
    </row>
    <row r="161">
      <c r="A161" s="58" t="n"/>
      <c r="B161" s="59" t="n"/>
      <c r="C161" s="59" t="n"/>
      <c r="D161" s="59" t="n"/>
      <c r="E161" s="60" t="n"/>
      <c r="F161" s="61" t="n"/>
      <c r="G161" s="61" t="n"/>
      <c r="H161" s="61" t="n"/>
      <c r="I161" s="58" t="n"/>
    </row>
    <row r="162">
      <c r="A162" s="58" t="n"/>
      <c r="B162" s="59" t="n"/>
      <c r="C162" s="59" t="n"/>
      <c r="D162" s="59" t="n"/>
      <c r="E162" s="60" t="n"/>
      <c r="F162" s="61" t="n"/>
      <c r="G162" s="61" t="n"/>
      <c r="H162" s="61" t="n"/>
      <c r="I162" s="58" t="n"/>
    </row>
    <row r="163">
      <c r="A163" s="58" t="n"/>
      <c r="B163" s="59" t="n"/>
      <c r="C163" s="59" t="n"/>
      <c r="D163" s="59" t="n"/>
      <c r="E163" s="60" t="n"/>
      <c r="F163" s="61" t="n"/>
      <c r="G163" s="61" t="n"/>
      <c r="H163" s="61" t="n"/>
      <c r="I163" s="58" t="n"/>
    </row>
    <row r="164">
      <c r="A164" s="58" t="n"/>
      <c r="B164" s="59" t="n"/>
      <c r="C164" s="59" t="n"/>
      <c r="D164" s="59" t="n"/>
      <c r="E164" s="60" t="n"/>
      <c r="F164" s="61" t="n"/>
      <c r="G164" s="61" t="n"/>
      <c r="H164" s="61" t="n"/>
      <c r="I164" s="58" t="n"/>
    </row>
    <row r="165">
      <c r="A165" s="58" t="n"/>
      <c r="B165" s="59" t="n"/>
      <c r="C165" s="59" t="n"/>
      <c r="D165" s="59" t="n"/>
      <c r="E165" s="60" t="n"/>
      <c r="F165" s="61" t="n"/>
      <c r="G165" s="61" t="n"/>
      <c r="H165" s="61" t="n"/>
      <c r="I165" s="58" t="n"/>
    </row>
    <row r="166">
      <c r="A166" s="58" t="n"/>
      <c r="B166" s="59" t="n"/>
      <c r="C166" s="59" t="n"/>
      <c r="D166" s="59" t="n"/>
      <c r="E166" s="60" t="n"/>
      <c r="F166" s="61" t="n"/>
      <c r="G166" s="61" t="n"/>
      <c r="H166" s="61" t="n"/>
      <c r="I166" s="58" t="n"/>
    </row>
    <row r="167">
      <c r="A167" s="58" t="n"/>
      <c r="B167" s="59" t="n"/>
      <c r="C167" s="59" t="n"/>
      <c r="D167" s="59" t="n"/>
      <c r="E167" s="60" t="n"/>
      <c r="F167" s="61" t="n"/>
      <c r="G167" s="61" t="n"/>
      <c r="H167" s="61" t="n"/>
      <c r="I167" s="58" t="n"/>
    </row>
    <row r="168">
      <c r="A168" s="58" t="n"/>
      <c r="B168" s="59" t="n"/>
      <c r="C168" s="59" t="n"/>
      <c r="D168" s="59" t="n"/>
      <c r="E168" s="60" t="n"/>
      <c r="F168" s="61" t="n"/>
      <c r="G168" s="61" t="n"/>
      <c r="H168" s="61" t="n"/>
      <c r="I168" s="58" t="n"/>
    </row>
    <row r="169">
      <c r="A169" s="58" t="n"/>
      <c r="B169" s="59" t="n"/>
      <c r="C169" s="59" t="n"/>
      <c r="D169" s="59" t="n"/>
      <c r="E169" s="60" t="n"/>
      <c r="F169" s="61" t="n"/>
      <c r="G169" s="61" t="n"/>
      <c r="H169" s="61" t="n"/>
      <c r="I169" s="58" t="n"/>
    </row>
    <row r="170">
      <c r="A170" s="58" t="n"/>
      <c r="B170" s="59" t="n"/>
      <c r="C170" s="59" t="n"/>
      <c r="D170" s="59" t="n"/>
      <c r="E170" s="60" t="n"/>
      <c r="F170" s="61" t="n"/>
      <c r="G170" s="61" t="n"/>
      <c r="H170" s="61" t="n"/>
      <c r="I170" s="58" t="n"/>
    </row>
    <row r="171">
      <c r="A171" s="58" t="n"/>
      <c r="B171" s="59" t="n"/>
      <c r="C171" s="59" t="n"/>
      <c r="D171" s="59" t="n"/>
      <c r="E171" s="60" t="n"/>
      <c r="F171" s="61" t="n"/>
      <c r="G171" s="61" t="n"/>
      <c r="H171" s="61" t="n"/>
      <c r="I171" s="58" t="n"/>
    </row>
    <row r="172">
      <c r="A172" s="58" t="n"/>
      <c r="B172" s="59" t="n"/>
      <c r="C172" s="59" t="n"/>
      <c r="D172" s="59" t="n"/>
      <c r="E172" s="60" t="n"/>
      <c r="F172" s="61" t="n"/>
      <c r="G172" s="61" t="n"/>
      <c r="H172" s="61" t="n"/>
      <c r="I172" s="58" t="n"/>
    </row>
    <row r="173">
      <c r="A173" s="58" t="n"/>
      <c r="B173" s="59" t="n"/>
      <c r="C173" s="59" t="n"/>
      <c r="D173" s="59" t="n"/>
      <c r="E173" s="60" t="n"/>
      <c r="F173" s="61" t="n"/>
      <c r="G173" s="61" t="n"/>
      <c r="H173" s="61" t="n"/>
      <c r="I173" s="58" t="n"/>
    </row>
    <row r="174">
      <c r="A174" s="58" t="n"/>
      <c r="B174" s="59" t="n"/>
      <c r="C174" s="59" t="n"/>
      <c r="D174" s="59" t="n"/>
      <c r="E174" s="60" t="n"/>
      <c r="F174" s="61" t="n"/>
      <c r="G174" s="61" t="n"/>
      <c r="H174" s="61" t="n"/>
      <c r="I174" s="58" t="n"/>
    </row>
    <row r="175">
      <c r="A175" s="58" t="n"/>
      <c r="B175" s="59" t="n"/>
      <c r="C175" s="59" t="n"/>
      <c r="D175" s="59" t="n"/>
      <c r="E175" s="60" t="n"/>
      <c r="F175" s="61" t="n"/>
      <c r="G175" s="61" t="n"/>
      <c r="H175" s="61" t="n"/>
      <c r="I175" s="58" t="n"/>
    </row>
    <row r="176">
      <c r="A176" s="58" t="n"/>
      <c r="B176" s="59" t="n"/>
      <c r="C176" s="59" t="n"/>
      <c r="D176" s="59" t="n"/>
      <c r="E176" s="60" t="n"/>
      <c r="F176" s="61" t="n"/>
      <c r="G176" s="61" t="n"/>
      <c r="H176" s="61" t="n"/>
      <c r="I176" s="58" t="n"/>
    </row>
    <row r="177">
      <c r="A177" s="58" t="n"/>
      <c r="B177" s="59" t="n"/>
      <c r="C177" s="59" t="n"/>
      <c r="D177" s="59" t="n"/>
      <c r="E177" s="60" t="n"/>
      <c r="F177" s="61" t="n"/>
      <c r="G177" s="61" t="n"/>
      <c r="H177" s="61" t="n"/>
      <c r="I177" s="58" t="n"/>
    </row>
    <row r="178">
      <c r="A178" s="58" t="n"/>
      <c r="B178" s="59" t="n"/>
      <c r="C178" s="59" t="n"/>
      <c r="D178" s="59" t="n"/>
      <c r="E178" s="60" t="n"/>
      <c r="F178" s="61" t="n"/>
      <c r="G178" s="61" t="n"/>
      <c r="H178" s="61" t="n"/>
      <c r="I178" s="58" t="n"/>
    </row>
    <row r="179">
      <c r="A179" s="58" t="n"/>
      <c r="B179" s="59" t="n"/>
      <c r="C179" s="59" t="n"/>
      <c r="D179" s="59" t="n"/>
      <c r="E179" s="60" t="n"/>
      <c r="F179" s="61" t="n"/>
      <c r="G179" s="61" t="n"/>
      <c r="H179" s="61" t="n"/>
      <c r="I179" s="58" t="n"/>
    </row>
    <row r="180">
      <c r="A180" s="58" t="n"/>
      <c r="B180" s="59" t="n"/>
      <c r="C180" s="59" t="n"/>
      <c r="D180" s="59" t="n"/>
      <c r="E180" s="60" t="n"/>
      <c r="F180" s="61" t="n"/>
      <c r="G180" s="61" t="n"/>
      <c r="H180" s="61" t="n"/>
      <c r="I180" s="58" t="n"/>
    </row>
    <row r="181">
      <c r="A181" s="58" t="n"/>
      <c r="B181" s="59" t="n"/>
      <c r="C181" s="59" t="n"/>
      <c r="D181" s="59" t="n"/>
      <c r="E181" s="60" t="n"/>
      <c r="F181" s="61" t="n"/>
      <c r="G181" s="61" t="n"/>
      <c r="H181" s="61" t="n"/>
      <c r="I181" s="58" t="n"/>
    </row>
    <row r="182">
      <c r="A182" s="58" t="n"/>
      <c r="B182" s="59" t="n"/>
      <c r="C182" s="59" t="n"/>
      <c r="D182" s="59" t="n"/>
      <c r="E182" s="60" t="n"/>
      <c r="F182" s="61" t="n"/>
      <c r="G182" s="61" t="n"/>
      <c r="H182" s="61" t="n"/>
      <c r="I182" s="58" t="n"/>
    </row>
    <row r="183">
      <c r="A183" s="58" t="n"/>
      <c r="B183" s="59" t="n"/>
      <c r="C183" s="59" t="n"/>
      <c r="D183" s="59" t="n"/>
      <c r="E183" s="60" t="n"/>
      <c r="F183" s="61" t="n"/>
      <c r="G183" s="61" t="n"/>
      <c r="H183" s="61" t="n"/>
      <c r="I183" s="58" t="n"/>
    </row>
    <row r="184">
      <c r="A184" s="58" t="n"/>
      <c r="B184" s="59" t="n"/>
      <c r="C184" s="59" t="n"/>
      <c r="D184" s="59" t="n"/>
      <c r="E184" s="60" t="n"/>
      <c r="F184" s="61" t="n"/>
      <c r="G184" s="61" t="n"/>
      <c r="H184" s="61" t="n"/>
      <c r="I184" s="58" t="n"/>
    </row>
    <row r="185">
      <c r="A185" s="58" t="n"/>
      <c r="B185" s="59" t="n"/>
      <c r="C185" s="59" t="n"/>
      <c r="D185" s="59" t="n"/>
      <c r="E185" s="60" t="n"/>
      <c r="F185" s="61" t="n"/>
      <c r="G185" s="61" t="n"/>
      <c r="H185" s="61" t="n"/>
      <c r="I185" s="58" t="n"/>
    </row>
    <row r="186">
      <c r="A186" s="58" t="n"/>
      <c r="B186" s="59" t="n"/>
      <c r="C186" s="59" t="n"/>
      <c r="D186" s="59" t="n"/>
      <c r="E186" s="60" t="n"/>
      <c r="F186" s="61" t="n"/>
      <c r="G186" s="61" t="n"/>
      <c r="H186" s="61" t="n"/>
      <c r="I186" s="58" t="n"/>
    </row>
    <row r="187">
      <c r="A187" s="58" t="n"/>
      <c r="B187" s="59" t="n"/>
      <c r="C187" s="59" t="n"/>
      <c r="D187" s="59" t="n"/>
      <c r="E187" s="60" t="n"/>
      <c r="F187" s="61" t="n"/>
      <c r="G187" s="61" t="n"/>
      <c r="H187" s="61" t="n"/>
      <c r="I187" s="58" t="n"/>
    </row>
    <row r="188">
      <c r="A188" s="58" t="n"/>
      <c r="B188" s="59" t="n"/>
      <c r="C188" s="59" t="n"/>
      <c r="D188" s="59" t="n"/>
      <c r="E188" s="60" t="n"/>
      <c r="F188" s="61" t="n"/>
      <c r="G188" s="61" t="n"/>
      <c r="H188" s="61" t="n"/>
      <c r="I188" s="58" t="n"/>
    </row>
    <row r="189">
      <c r="A189" s="58" t="n"/>
      <c r="B189" s="59" t="n"/>
      <c r="C189" s="59" t="n"/>
      <c r="D189" s="59" t="n"/>
      <c r="E189" s="60" t="n"/>
      <c r="F189" s="61" t="n"/>
      <c r="G189" s="61" t="n"/>
      <c r="H189" s="61" t="n"/>
      <c r="I189" s="58" t="n"/>
    </row>
    <row r="190">
      <c r="A190" s="58" t="n"/>
      <c r="B190" s="59" t="n"/>
      <c r="C190" s="59" t="n"/>
      <c r="D190" s="59" t="n"/>
      <c r="E190" s="60" t="n"/>
      <c r="F190" s="61" t="n"/>
      <c r="G190" s="61" t="n"/>
      <c r="H190" s="61" t="n"/>
      <c r="I190" s="58" t="n"/>
    </row>
    <row r="191">
      <c r="A191" s="58" t="n"/>
      <c r="B191" s="59" t="n"/>
      <c r="C191" s="59" t="n"/>
      <c r="D191" s="59" t="n"/>
      <c r="E191" s="60" t="n"/>
      <c r="F191" s="61" t="n"/>
      <c r="G191" s="61" t="n"/>
      <c r="H191" s="61" t="n"/>
      <c r="I191" s="58" t="n"/>
    </row>
    <row r="192">
      <c r="A192" s="58" t="n"/>
      <c r="B192" s="59" t="n"/>
      <c r="C192" s="59" t="n"/>
      <c r="D192" s="59" t="n"/>
      <c r="E192" s="60" t="n"/>
      <c r="F192" s="61" t="n"/>
      <c r="G192" s="61" t="n"/>
      <c r="H192" s="61" t="n"/>
      <c r="I192" s="58" t="n"/>
    </row>
    <row r="193">
      <c r="A193" s="58" t="n"/>
      <c r="B193" s="59" t="n"/>
      <c r="C193" s="59" t="n"/>
      <c r="D193" s="59" t="n"/>
      <c r="E193" s="60" t="n"/>
      <c r="F193" s="61" t="n"/>
      <c r="G193" s="61" t="n"/>
      <c r="H193" s="61" t="n"/>
      <c r="I193" s="58" t="n"/>
    </row>
    <row r="194">
      <c r="A194" s="58" t="n"/>
      <c r="B194" s="59" t="n"/>
      <c r="C194" s="59" t="n"/>
      <c r="D194" s="59" t="n"/>
      <c r="E194" s="60" t="n"/>
      <c r="F194" s="61" t="n"/>
      <c r="G194" s="61" t="n"/>
      <c r="H194" s="61" t="n"/>
      <c r="I194" s="58" t="n"/>
    </row>
    <row r="195">
      <c r="A195" s="58" t="n"/>
      <c r="B195" s="59" t="n"/>
      <c r="C195" s="59" t="n"/>
      <c r="D195" s="59" t="n"/>
      <c r="E195" s="60" t="n"/>
      <c r="F195" s="61" t="n"/>
      <c r="G195" s="61" t="n"/>
      <c r="H195" s="61" t="n"/>
      <c r="I195" s="58" t="n"/>
    </row>
    <row r="196">
      <c r="A196" s="58" t="n"/>
      <c r="B196" s="59" t="n"/>
      <c r="C196" s="59" t="n"/>
      <c r="D196" s="59" t="n"/>
      <c r="E196" s="60" t="n"/>
      <c r="F196" s="61" t="n"/>
      <c r="G196" s="61" t="n"/>
      <c r="H196" s="61" t="n"/>
      <c r="I196" s="58" t="n"/>
    </row>
    <row r="197">
      <c r="A197" s="58" t="n"/>
      <c r="B197" s="59" t="n"/>
      <c r="C197" s="59" t="n"/>
      <c r="D197" s="59" t="n"/>
      <c r="E197" s="60" t="n"/>
      <c r="F197" s="61" t="n"/>
      <c r="G197" s="61" t="n"/>
      <c r="H197" s="61" t="n"/>
      <c r="I197" s="58" t="n"/>
    </row>
    <row r="198">
      <c r="A198" s="58" t="n"/>
      <c r="B198" s="59" t="n"/>
      <c r="C198" s="59" t="n"/>
      <c r="D198" s="59" t="n"/>
      <c r="E198" s="60" t="n"/>
      <c r="F198" s="61" t="n"/>
      <c r="G198" s="61" t="n"/>
      <c r="H198" s="61" t="n"/>
      <c r="I198" s="58" t="n"/>
    </row>
    <row r="199">
      <c r="A199" s="58" t="n"/>
      <c r="B199" s="59" t="n"/>
      <c r="C199" s="59" t="n"/>
      <c r="D199" s="59" t="n"/>
      <c r="E199" s="60" t="n"/>
      <c r="F199" s="61" t="n"/>
      <c r="G199" s="61" t="n"/>
      <c r="H199" s="61" t="n"/>
      <c r="I199" s="58" t="n"/>
    </row>
    <row r="200">
      <c r="A200" s="58" t="n"/>
      <c r="B200" s="59" t="n"/>
      <c r="C200" s="59" t="n"/>
      <c r="D200" s="59" t="n"/>
      <c r="E200" s="60" t="n"/>
      <c r="F200" s="61" t="n"/>
      <c r="G200" s="61" t="n"/>
      <c r="H200" s="61" t="n"/>
      <c r="I200" s="58" t="n"/>
    </row>
    <row r="201">
      <c r="A201" s="58" t="n"/>
      <c r="B201" s="59" t="n"/>
      <c r="C201" s="59" t="n"/>
      <c r="D201" s="59" t="n"/>
      <c r="E201" s="60" t="n"/>
      <c r="F201" s="61" t="n"/>
      <c r="G201" s="61" t="n"/>
      <c r="H201" s="61" t="n"/>
      <c r="I201" s="58" t="n"/>
    </row>
    <row r="202">
      <c r="A202" s="58" t="n"/>
      <c r="B202" s="59" t="n"/>
      <c r="C202" s="59" t="n"/>
      <c r="D202" s="59" t="n"/>
      <c r="E202" s="60" t="n"/>
      <c r="F202" s="61" t="n"/>
      <c r="G202" s="61" t="n"/>
      <c r="H202" s="61" t="n"/>
      <c r="I202" s="58" t="n"/>
    </row>
    <row r="203">
      <c r="A203" s="58" t="n"/>
      <c r="B203" s="59" t="n"/>
      <c r="C203" s="59" t="n"/>
      <c r="D203" s="59" t="n"/>
      <c r="E203" s="60" t="n"/>
      <c r="F203" s="61" t="n"/>
      <c r="G203" s="61" t="n"/>
      <c r="H203" s="61" t="n"/>
      <c r="I203" s="58" t="n"/>
    </row>
    <row r="204">
      <c r="A204" s="58" t="n"/>
      <c r="B204" s="59" t="n"/>
      <c r="C204" s="59" t="n"/>
      <c r="D204" s="59" t="n"/>
      <c r="E204" s="60" t="n"/>
      <c r="F204" s="61" t="n"/>
      <c r="G204" s="61" t="n"/>
      <c r="H204" s="61" t="n"/>
      <c r="I204" s="58" t="n"/>
    </row>
  </sheetData>
  <autoFilter ref="A4:I204"/>
  <dataValidations count="6">
    <dataValidation sqref="A5:A204" showDropDown="0" showInputMessage="1" showErrorMessage="1" allowBlank="1" errorTitle="Código repetido" error="Este código já existe. Use um código único (ex.: P031)." promptTitle="Código" prompt="Código único do produto, ex.: P031" type="custom">
      <formula1>COUNTIF($A$5:$A$204,A5)=1</formula1>
    </dataValidation>
    <dataValidation sqref="C5:C204" showDropDown="0" showInputMessage="1" showErrorMessage="1" allowBlank="1" errorTitle="Categoria inválida" error="Escolha uma categoria da lista." type="list">
      <formula1>=lst_Categorias</formula1>
    </dataValidation>
    <dataValidation sqref="E5:E204" showDropDown="0" showInputMessage="1" showErrorMessage="1" allowBlank="1" errorTitle="Custo inválido" error="O custo unitário não pode ser negativo." type="decimal" operator="greaterThanOrEqual">
      <formula1>0</formula1>
    </dataValidation>
    <dataValidation sqref="F5:G204" showDropDown="0" showInputMessage="1" showErrorMessage="1" allowBlank="1" errorTitle="Quantidade inválida" error="Use um número inteiro maior ou igual a zero." type="whole" operator="greaterThanOrEqual">
      <formula1>0</formula1>
    </dataValidation>
    <dataValidation sqref="H5:H204" showDropDown="0" showInputMessage="1" showErrorMessage="1" allowBlank="1" errorTitle="Estoque máximo inválido" error="O estoque máximo deve ser um inteiro maior que o estoque mínimo." type="custom">
      <formula1>AND(ISNUMBER(H5),H5=INT(H5),H5&gt;G5)</formula1>
    </dataValidation>
    <dataValidation sqref="I5:I204" showDropDown="0" showInputMessage="1" showErrorMessage="1" allowBlank="1" errorTitle="Localização inválida" error="Use o padrão Rua-Prateleira-Nível, ex.: A-01-01." promptTitle="Localização" prompt="Padrão: letra-número-número (ex.: A-01-01)" type="custom">
      <formula1>AND(LEN(I5)=7,CODE(UPPER(LEFT(I5,1)))&gt;=65,CODE(UPPER(LEFT(I5,1)))&lt;=90,MID(I5,2,1)="-",MID(I5,5,1)="-",ISNUMBER(VALUE(MID(I5,3,2))),ISNUMBER(VALUE(MID(I5,6,2))))</formula1>
    </dataValidation>
  </dataValidation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tabColor rgb="0012334D"/>
    <outlinePr summaryBelow="1" summaryRight="1"/>
    <pageSetUpPr fitToPage="1"/>
  </sheetPr>
  <dimension ref="A1:J10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2" customWidth="1" min="3" max="3"/>
    <col width="34" customWidth="1" min="4" max="4"/>
    <col width="14" customWidth="1" min="5" max="5"/>
    <col width="12" customWidth="1" min="6" max="6"/>
    <col width="20" customWidth="1" min="7" max="7"/>
    <col width="30" customWidth="1" min="8" max="8"/>
    <col width="16" customWidth="1" min="9" max="9"/>
    <col width="14" customWidth="1" min="10" max="10"/>
  </cols>
  <sheetData>
    <row r="1" ht="30" customHeight="1">
      <c r="A1" s="52" t="inlineStr">
        <is>
          <t>Almox EO  ·  Movimentações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</row>
    <row r="2" ht="20" customHeight="1">
      <c r="A2" s="53" t="inlineStr">
        <is>
          <t>Registre cada entrada ou saída em uma nova linha. O nome do produto e o saldo são preenchidos automaticamente. Capacidade: 1.000 registros.</t>
        </is>
      </c>
      <c r="B2" s="1" t="n"/>
      <c r="C2" s="1" t="n"/>
      <c r="D2" s="1" t="n"/>
      <c r="E2" s="1" t="n"/>
      <c r="F2" s="1" t="n"/>
      <c r="G2" s="1" t="n"/>
      <c r="H2" s="62" t="inlineStr">
        <is>
          <t>Próximo ID:</t>
        </is>
      </c>
      <c r="I2" s="63">
        <f>"MOV-"&amp;TEXT(COUNTA($B$5:$B$1004)+1,"0000")</f>
        <v/>
      </c>
      <c r="J2" s="1" t="n"/>
    </row>
    <row r="3" ht="20" customHeight="1">
      <c r="A3" s="54" t="inlineStr">
        <is>
          <t>Legenda:</t>
        </is>
      </c>
      <c r="B3" s="55" t="inlineStr">
        <is>
          <t>Branco = digitar dados</t>
        </is>
      </c>
      <c r="C3" s="56" t="inlineStr">
        <is>
          <t>Cinza-azulado = fórmula (não editar)</t>
        </is>
      </c>
    </row>
    <row r="4" ht="30" customHeight="1">
      <c r="A4" s="57" t="inlineStr">
        <is>
          <t>Data</t>
        </is>
      </c>
      <c r="B4" s="57" t="inlineStr">
        <is>
          <t>ID da movimentação</t>
        </is>
      </c>
      <c r="C4" s="57" t="inlineStr">
        <is>
          <t>Código do produto</t>
        </is>
      </c>
      <c r="D4" s="57" t="inlineStr">
        <is>
          <t>Nome do produto</t>
        </is>
      </c>
      <c r="E4" s="57" t="inlineStr">
        <is>
          <t>Tipo de movimentação</t>
        </is>
      </c>
      <c r="F4" s="57" t="inlineStr">
        <is>
          <t>Quantidade</t>
        </is>
      </c>
      <c r="G4" s="57" t="inlineStr">
        <is>
          <t>Responsável</t>
        </is>
      </c>
      <c r="H4" s="57" t="inlineStr">
        <is>
          <t>Observação</t>
        </is>
      </c>
      <c r="I4" s="57" t="inlineStr">
        <is>
          <t>Saldo do produto no fim do dia</t>
        </is>
      </c>
      <c r="J4" s="64" t="inlineStr">
        <is>
          <t>Chave de ordenação (auxiliar)</t>
        </is>
      </c>
    </row>
    <row r="5">
      <c r="A5" s="65" t="n">
        <v>45782</v>
      </c>
      <c r="B5" s="58" t="inlineStr">
        <is>
          <t>MOV-0001</t>
        </is>
      </c>
      <c r="C5" s="58" t="inlineStr">
        <is>
          <t>P011</t>
        </is>
      </c>
      <c r="D5" s="66">
        <f>IF(C5="","",IFERROR(INDEX('Produtos'!$B$5:$B$204,MATCH(C5,'Produtos'!$A$5:$A$204,0)),"Código não cadastrado"))</f>
        <v/>
      </c>
      <c r="E5" s="58" t="inlineStr">
        <is>
          <t>Saída</t>
        </is>
      </c>
      <c r="F5" s="61" t="n">
        <v>2</v>
      </c>
      <c r="G5" s="59" t="inlineStr">
        <is>
          <t>Elinaldo Oliveira</t>
        </is>
      </c>
      <c r="H5" s="59" t="inlineStr">
        <is>
          <t>Saída para equipe de campo</t>
        </is>
      </c>
      <c r="I5" s="67">
        <f>IF(OR(A5="",C5=""),"",IFERROR(INDEX('Produtos'!$F$5:$F$204,MATCH(C5,'Produtos'!$A$5:$A$204,0))+SUMIFS($F$5:$F$1004,$C$5:$C$1004,C5,$E$5:$E$1004,"Entrada",$A$5:$A$1004,"&lt;="&amp;A5)-SUMIFS($F$5:$F$1004,$C$5:$C$1004,C5,$E$5:$E$1004,"Saída",$A$5:$A$1004,"&lt;="&amp;A5),""))</f>
        <v/>
      </c>
      <c r="J5" s="68">
        <f>IF(A5="","",A5+ROW()/100000)</f>
        <v/>
      </c>
    </row>
    <row r="6">
      <c r="A6" s="65" t="n">
        <v>45783</v>
      </c>
      <c r="B6" s="58" t="inlineStr">
        <is>
          <t>MOV-0002</t>
        </is>
      </c>
      <c r="C6" s="58" t="inlineStr">
        <is>
          <t>P001</t>
        </is>
      </c>
      <c r="D6" s="66">
        <f>IF(C6="","",IFERROR(INDEX('Produtos'!$B$5:$B$204,MATCH(C6,'Produtos'!$A$5:$A$204,0)),"Código não cadastrado"))</f>
        <v/>
      </c>
      <c r="E6" s="58" t="inlineStr">
        <is>
          <t>Saída</t>
        </is>
      </c>
      <c r="F6" s="61" t="n">
        <v>9</v>
      </c>
      <c r="G6" s="59" t="inlineStr">
        <is>
          <t>Rodrigo Oliveira</t>
        </is>
      </c>
      <c r="H6" s="59" t="inlineStr">
        <is>
          <t>Saída para equipe de campo</t>
        </is>
      </c>
      <c r="I6" s="67">
        <f>IF(OR(A6="",C6=""),"",IFERROR(INDEX('Produtos'!$F$5:$F$204,MATCH(C6,'Produtos'!$A$5:$A$204,0))+SUMIFS($F$5:$F$1004,$C$5:$C$1004,C6,$E$5:$E$1004,"Entrada",$A$5:$A$1004,"&lt;="&amp;A6)-SUMIFS($F$5:$F$1004,$C$5:$C$1004,C6,$E$5:$E$1004,"Saída",$A$5:$A$1004,"&lt;="&amp;A6),""))</f>
        <v/>
      </c>
      <c r="J6" s="68">
        <f>IF(A6="","",A6+ROW()/100000)</f>
        <v/>
      </c>
    </row>
    <row r="7">
      <c r="A7" s="65" t="n">
        <v>45784</v>
      </c>
      <c r="B7" s="58" t="inlineStr">
        <is>
          <t>MOV-0003</t>
        </is>
      </c>
      <c r="C7" s="58" t="inlineStr">
        <is>
          <t>P006</t>
        </is>
      </c>
      <c r="D7" s="66">
        <f>IF(C7="","",IFERROR(INDEX('Produtos'!$B$5:$B$204,MATCH(C7,'Produtos'!$A$5:$A$204,0)),"Código não cadastrado"))</f>
        <v/>
      </c>
      <c r="E7" s="58" t="inlineStr">
        <is>
          <t>Saída</t>
        </is>
      </c>
      <c r="F7" s="61" t="n">
        <v>41</v>
      </c>
      <c r="G7" s="59" t="inlineStr">
        <is>
          <t>Rodrigo Oliveira</t>
        </is>
      </c>
      <c r="H7" s="59" t="inlineStr">
        <is>
          <t>Instalação em cliente</t>
        </is>
      </c>
      <c r="I7" s="67">
        <f>IF(OR(A7="",C7=""),"",IFERROR(INDEX('Produtos'!$F$5:$F$204,MATCH(C7,'Produtos'!$A$5:$A$204,0))+SUMIFS($F$5:$F$1004,$C$5:$C$1004,C7,$E$5:$E$1004,"Entrada",$A$5:$A$1004,"&lt;="&amp;A7)-SUMIFS($F$5:$F$1004,$C$5:$C$1004,C7,$E$5:$E$1004,"Saída",$A$5:$A$1004,"&lt;="&amp;A7),""))</f>
        <v/>
      </c>
      <c r="J7" s="68">
        <f>IF(A7="","",A7+ROW()/100000)</f>
        <v/>
      </c>
    </row>
    <row r="8">
      <c r="A8" s="65" t="n">
        <v>45784</v>
      </c>
      <c r="B8" s="58" t="inlineStr">
        <is>
          <t>MOV-0004</t>
        </is>
      </c>
      <c r="C8" s="58" t="inlineStr">
        <is>
          <t>P011</t>
        </is>
      </c>
      <c r="D8" s="66">
        <f>IF(C8="","",IFERROR(INDEX('Produtos'!$B$5:$B$204,MATCH(C8,'Produtos'!$A$5:$A$204,0)),"Código não cadastrado"))</f>
        <v/>
      </c>
      <c r="E8" s="58" t="inlineStr">
        <is>
          <t>Saída</t>
        </is>
      </c>
      <c r="F8" s="61" t="n">
        <v>2</v>
      </c>
      <c r="G8" s="59" t="inlineStr">
        <is>
          <t>Elinaldo Oliveira</t>
        </is>
      </c>
      <c r="H8" s="59" t="inlineStr">
        <is>
          <t>Substituição de ferramenta</t>
        </is>
      </c>
      <c r="I8" s="67">
        <f>IF(OR(A8="",C8=""),"",IFERROR(INDEX('Produtos'!$F$5:$F$204,MATCH(C8,'Produtos'!$A$5:$A$204,0))+SUMIFS($F$5:$F$1004,$C$5:$C$1004,C8,$E$5:$E$1004,"Entrada",$A$5:$A$1004,"&lt;="&amp;A8)-SUMIFS($F$5:$F$1004,$C$5:$C$1004,C8,$E$5:$E$1004,"Saída",$A$5:$A$1004,"&lt;="&amp;A8),""))</f>
        <v/>
      </c>
      <c r="J8" s="68">
        <f>IF(A8="","",A8+ROW()/100000)</f>
        <v/>
      </c>
    </row>
    <row r="9">
      <c r="A9" s="65" t="n">
        <v>45785</v>
      </c>
      <c r="B9" s="58" t="inlineStr">
        <is>
          <t>MOV-0005</t>
        </is>
      </c>
      <c r="C9" s="58" t="inlineStr">
        <is>
          <t>P018</t>
        </is>
      </c>
      <c r="D9" s="66">
        <f>IF(C9="","",IFERROR(INDEX('Produtos'!$B$5:$B$204,MATCH(C9,'Produtos'!$A$5:$A$204,0)),"Código não cadastrado"))</f>
        <v/>
      </c>
      <c r="E9" s="58" t="inlineStr">
        <is>
          <t>Saída</t>
        </is>
      </c>
      <c r="F9" s="61" t="n">
        <v>9</v>
      </c>
      <c r="G9" s="59" t="inlineStr">
        <is>
          <t>Rosilene Barbosa</t>
        </is>
      </c>
      <c r="H9" s="59" t="inlineStr">
        <is>
          <t>Expedição de pedido</t>
        </is>
      </c>
      <c r="I9" s="67">
        <f>IF(OR(A9="",C9=""),"",IFERROR(INDEX('Produtos'!$F$5:$F$204,MATCH(C9,'Produtos'!$A$5:$A$204,0))+SUMIFS($F$5:$F$1004,$C$5:$C$1004,C9,$E$5:$E$1004,"Entrada",$A$5:$A$1004,"&lt;="&amp;A9)-SUMIFS($F$5:$F$1004,$C$5:$C$1004,C9,$E$5:$E$1004,"Saída",$A$5:$A$1004,"&lt;="&amp;A9),""))</f>
        <v/>
      </c>
      <c r="J9" s="68">
        <f>IF(A9="","",A9+ROW()/100000)</f>
        <v/>
      </c>
    </row>
    <row r="10">
      <c r="A10" s="65" t="n">
        <v>45786</v>
      </c>
      <c r="B10" s="58" t="inlineStr">
        <is>
          <t>MOV-0006</t>
        </is>
      </c>
      <c r="C10" s="58" t="inlineStr">
        <is>
          <t>P001</t>
        </is>
      </c>
      <c r="D10" s="66">
        <f>IF(C10="","",IFERROR(INDEX('Produtos'!$B$5:$B$204,MATCH(C10,'Produtos'!$A$5:$A$204,0)),"Código não cadastrado"))</f>
        <v/>
      </c>
      <c r="E10" s="58" t="inlineStr">
        <is>
          <t>Entrada</t>
        </is>
      </c>
      <c r="F10" s="61" t="n">
        <v>15</v>
      </c>
      <c r="G10" s="59" t="inlineStr">
        <is>
          <t>Bruno Estevam</t>
        </is>
      </c>
      <c r="H10" s="59" t="inlineStr">
        <is>
          <t>Recebimento de fornecedor</t>
        </is>
      </c>
      <c r="I10" s="67">
        <f>IF(OR(A10="",C10=""),"",IFERROR(INDEX('Produtos'!$F$5:$F$204,MATCH(C10,'Produtos'!$A$5:$A$204,0))+SUMIFS($F$5:$F$1004,$C$5:$C$1004,C10,$E$5:$E$1004,"Entrada",$A$5:$A$1004,"&lt;="&amp;A10)-SUMIFS($F$5:$F$1004,$C$5:$C$1004,C10,$E$5:$E$1004,"Saída",$A$5:$A$1004,"&lt;="&amp;A10),""))</f>
        <v/>
      </c>
      <c r="J10" s="68">
        <f>IF(A10="","",A10+ROW()/100000)</f>
        <v/>
      </c>
    </row>
    <row r="11">
      <c r="A11" s="65" t="n">
        <v>45786</v>
      </c>
      <c r="B11" s="58" t="inlineStr">
        <is>
          <t>MOV-0007</t>
        </is>
      </c>
      <c r="C11" s="58" t="inlineStr">
        <is>
          <t>P022</t>
        </is>
      </c>
      <c r="D11" s="66">
        <f>IF(C11="","",IFERROR(INDEX('Produtos'!$B$5:$B$204,MATCH(C11,'Produtos'!$A$5:$A$204,0)),"Código não cadastrado"))</f>
        <v/>
      </c>
      <c r="E11" s="58" t="inlineStr">
        <is>
          <t>Saída</t>
        </is>
      </c>
      <c r="F11" s="61" t="n">
        <v>1</v>
      </c>
      <c r="G11" s="59" t="inlineStr">
        <is>
          <t>Bruno Estevam</t>
        </is>
      </c>
      <c r="H11" s="59" t="inlineStr">
        <is>
          <t>Entrega de EPI a colaborador</t>
        </is>
      </c>
      <c r="I11" s="67">
        <f>IF(OR(A11="",C11=""),"",IFERROR(INDEX('Produtos'!$F$5:$F$204,MATCH(C11,'Produtos'!$A$5:$A$204,0))+SUMIFS($F$5:$F$1004,$C$5:$C$1004,C11,$E$5:$E$1004,"Entrada",$A$5:$A$1004,"&lt;="&amp;A11)-SUMIFS($F$5:$F$1004,$C$5:$C$1004,C11,$E$5:$E$1004,"Saída",$A$5:$A$1004,"&lt;="&amp;A11),""))</f>
        <v/>
      </c>
      <c r="J11" s="68">
        <f>IF(A11="","",A11+ROW()/100000)</f>
        <v/>
      </c>
    </row>
    <row r="12">
      <c r="A12" s="65" t="n">
        <v>45787</v>
      </c>
      <c r="B12" s="58" t="inlineStr">
        <is>
          <t>MOV-0008</t>
        </is>
      </c>
      <c r="C12" s="58" t="inlineStr">
        <is>
          <t>P003</t>
        </is>
      </c>
      <c r="D12" s="66">
        <f>IF(C12="","",IFERROR(INDEX('Produtos'!$B$5:$B$204,MATCH(C12,'Produtos'!$A$5:$A$204,0)),"Código não cadastrado"))</f>
        <v/>
      </c>
      <c r="E12" s="58" t="inlineStr">
        <is>
          <t>Saída</t>
        </is>
      </c>
      <c r="F12" s="61" t="n">
        <v>14</v>
      </c>
      <c r="G12" s="59" t="inlineStr">
        <is>
          <t>Rodrigo Oliveira</t>
        </is>
      </c>
      <c r="H12" s="59" t="inlineStr">
        <is>
          <t>Instalação em cliente</t>
        </is>
      </c>
      <c r="I12" s="67">
        <f>IF(OR(A12="",C12=""),"",IFERROR(INDEX('Produtos'!$F$5:$F$204,MATCH(C12,'Produtos'!$A$5:$A$204,0))+SUMIFS($F$5:$F$1004,$C$5:$C$1004,C12,$E$5:$E$1004,"Entrada",$A$5:$A$1004,"&lt;="&amp;A12)-SUMIFS($F$5:$F$1004,$C$5:$C$1004,C12,$E$5:$E$1004,"Saída",$A$5:$A$1004,"&lt;="&amp;A12),""))</f>
        <v/>
      </c>
      <c r="J12" s="68">
        <f>IF(A12="","",A12+ROW()/100000)</f>
        <v/>
      </c>
    </row>
    <row r="13">
      <c r="A13" s="65" t="n">
        <v>45790</v>
      </c>
      <c r="B13" s="58" t="inlineStr">
        <is>
          <t>MOV-0009</t>
        </is>
      </c>
      <c r="C13" s="58" t="inlineStr">
        <is>
          <t>P027</t>
        </is>
      </c>
      <c r="D13" s="66">
        <f>IF(C13="","",IFERROR(INDEX('Produtos'!$B$5:$B$204,MATCH(C13,'Produtos'!$A$5:$A$204,0)),"Código não cadastrado"))</f>
        <v/>
      </c>
      <c r="E13" s="58" t="inlineStr">
        <is>
          <t>Saída</t>
        </is>
      </c>
      <c r="F13" s="61" t="n">
        <v>6</v>
      </c>
      <c r="G13" s="59" t="inlineStr">
        <is>
          <t>Rodrigo Oliveira</t>
        </is>
      </c>
      <c r="H13" s="59" t="inlineStr">
        <is>
          <t>Saída para equipe de campo</t>
        </is>
      </c>
      <c r="I13" s="67">
        <f>IF(OR(A13="",C13=""),"",IFERROR(INDEX('Produtos'!$F$5:$F$204,MATCH(C13,'Produtos'!$A$5:$A$204,0))+SUMIFS($F$5:$F$1004,$C$5:$C$1004,C13,$E$5:$E$1004,"Entrada",$A$5:$A$1004,"&lt;="&amp;A13)-SUMIFS($F$5:$F$1004,$C$5:$C$1004,C13,$E$5:$E$1004,"Saída",$A$5:$A$1004,"&lt;="&amp;A13),""))</f>
        <v/>
      </c>
      <c r="J13" s="68">
        <f>IF(A13="","",A13+ROW()/100000)</f>
        <v/>
      </c>
    </row>
    <row r="14">
      <c r="A14" s="65" t="n">
        <v>45791</v>
      </c>
      <c r="B14" s="58" t="inlineStr">
        <is>
          <t>MOV-0010</t>
        </is>
      </c>
      <c r="C14" s="58" t="inlineStr">
        <is>
          <t>P006</t>
        </is>
      </c>
      <c r="D14" s="66">
        <f>IF(C14="","",IFERROR(INDEX('Produtos'!$B$5:$B$204,MATCH(C14,'Produtos'!$A$5:$A$204,0)),"Código não cadastrado"))</f>
        <v/>
      </c>
      <c r="E14" s="58" t="inlineStr">
        <is>
          <t>Entrada</t>
        </is>
      </c>
      <c r="F14" s="61" t="n">
        <v>71</v>
      </c>
      <c r="G14" s="59" t="inlineStr">
        <is>
          <t>Elinaldo Oliveira</t>
        </is>
      </c>
      <c r="H14" s="59" t="inlineStr">
        <is>
          <t>Recebimento de fornecedor</t>
        </is>
      </c>
      <c r="I14" s="67">
        <f>IF(OR(A14="",C14=""),"",IFERROR(INDEX('Produtos'!$F$5:$F$204,MATCH(C14,'Produtos'!$A$5:$A$204,0))+SUMIFS($F$5:$F$1004,$C$5:$C$1004,C14,$E$5:$E$1004,"Entrada",$A$5:$A$1004,"&lt;="&amp;A14)-SUMIFS($F$5:$F$1004,$C$5:$C$1004,C14,$E$5:$E$1004,"Saída",$A$5:$A$1004,"&lt;="&amp;A14),""))</f>
        <v/>
      </c>
      <c r="J14" s="68">
        <f>IF(A14="","",A14+ROW()/100000)</f>
        <v/>
      </c>
    </row>
    <row r="15">
      <c r="A15" s="65" t="n">
        <v>45794</v>
      </c>
      <c r="B15" s="58" t="inlineStr">
        <is>
          <t>MOV-0011</t>
        </is>
      </c>
      <c r="C15" s="58" t="inlineStr">
        <is>
          <t>P016</t>
        </is>
      </c>
      <c r="D15" s="66">
        <f>IF(C15="","",IFERROR(INDEX('Produtos'!$B$5:$B$204,MATCH(C15,'Produtos'!$A$5:$A$204,0)),"Código não cadastrado"))</f>
        <v/>
      </c>
      <c r="E15" s="58" t="inlineStr">
        <is>
          <t>Saída</t>
        </is>
      </c>
      <c r="F15" s="61" t="n">
        <v>29</v>
      </c>
      <c r="G15" s="59" t="inlineStr">
        <is>
          <t>Rosilene Barbosa</t>
        </is>
      </c>
      <c r="H15" s="59" t="inlineStr">
        <is>
          <t>Expedição de pedido</t>
        </is>
      </c>
      <c r="I15" s="67">
        <f>IF(OR(A15="",C15=""),"",IFERROR(INDEX('Produtos'!$F$5:$F$204,MATCH(C15,'Produtos'!$A$5:$A$204,0))+SUMIFS($F$5:$F$1004,$C$5:$C$1004,C15,$E$5:$E$1004,"Entrada",$A$5:$A$1004,"&lt;="&amp;A15)-SUMIFS($F$5:$F$1004,$C$5:$C$1004,C15,$E$5:$E$1004,"Saída",$A$5:$A$1004,"&lt;="&amp;A15),""))</f>
        <v/>
      </c>
      <c r="J15" s="68">
        <f>IF(A15="","",A15+ROW()/100000)</f>
        <v/>
      </c>
    </row>
    <row r="16">
      <c r="A16" s="65" t="n">
        <v>45794</v>
      </c>
      <c r="B16" s="58" t="inlineStr">
        <is>
          <t>MOV-0012</t>
        </is>
      </c>
      <c r="C16" s="58" t="inlineStr">
        <is>
          <t>P028</t>
        </is>
      </c>
      <c r="D16" s="66">
        <f>IF(C16="","",IFERROR(INDEX('Produtos'!$B$5:$B$204,MATCH(C16,'Produtos'!$A$5:$A$204,0)),"Código não cadastrado"))</f>
        <v/>
      </c>
      <c r="E16" s="58" t="inlineStr">
        <is>
          <t>Saída</t>
        </is>
      </c>
      <c r="F16" s="61" t="n">
        <v>13</v>
      </c>
      <c r="G16" s="59" t="inlineStr">
        <is>
          <t>Rosilene Barbosa</t>
        </is>
      </c>
      <c r="H16" s="59" t="inlineStr">
        <is>
          <t>Consumo interno</t>
        </is>
      </c>
      <c r="I16" s="67">
        <f>IF(OR(A16="",C16=""),"",IFERROR(INDEX('Produtos'!$F$5:$F$204,MATCH(C16,'Produtos'!$A$5:$A$204,0))+SUMIFS($F$5:$F$1004,$C$5:$C$1004,C16,$E$5:$E$1004,"Entrada",$A$5:$A$1004,"&lt;="&amp;A16)-SUMIFS($F$5:$F$1004,$C$5:$C$1004,C16,$E$5:$E$1004,"Saída",$A$5:$A$1004,"&lt;="&amp;A16),""))</f>
        <v/>
      </c>
      <c r="J16" s="68">
        <f>IF(A16="","",A16+ROW()/100000)</f>
        <v/>
      </c>
    </row>
    <row r="17">
      <c r="A17" s="65" t="n">
        <v>45799</v>
      </c>
      <c r="B17" s="58" t="inlineStr">
        <is>
          <t>MOV-0013</t>
        </is>
      </c>
      <c r="C17" s="58" t="inlineStr">
        <is>
          <t>P011</t>
        </is>
      </c>
      <c r="D17" s="66">
        <f>IF(C17="","",IFERROR(INDEX('Produtos'!$B$5:$B$204,MATCH(C17,'Produtos'!$A$5:$A$204,0)),"Código não cadastrado"))</f>
        <v/>
      </c>
      <c r="E17" s="58" t="inlineStr">
        <is>
          <t>Saída</t>
        </is>
      </c>
      <c r="F17" s="61" t="n">
        <v>2</v>
      </c>
      <c r="G17" s="59" t="inlineStr">
        <is>
          <t>Elinaldo Oliveira</t>
        </is>
      </c>
      <c r="H17" s="59" t="inlineStr">
        <is>
          <t>Saída para equipe de campo</t>
        </is>
      </c>
      <c r="I17" s="67">
        <f>IF(OR(A17="",C17=""),"",IFERROR(INDEX('Produtos'!$F$5:$F$204,MATCH(C17,'Produtos'!$A$5:$A$204,0))+SUMIFS($F$5:$F$1004,$C$5:$C$1004,C17,$E$5:$E$1004,"Entrada",$A$5:$A$1004,"&lt;="&amp;A17)-SUMIFS($F$5:$F$1004,$C$5:$C$1004,C17,$E$5:$E$1004,"Saída",$A$5:$A$1004,"&lt;="&amp;A17),""))</f>
        <v/>
      </c>
      <c r="J17" s="68">
        <f>IF(A17="","",A17+ROW()/100000)</f>
        <v/>
      </c>
    </row>
    <row r="18">
      <c r="A18" s="65" t="n">
        <v>45799</v>
      </c>
      <c r="B18" s="58" t="inlineStr">
        <is>
          <t>MOV-0014</t>
        </is>
      </c>
      <c r="C18" s="58" t="inlineStr">
        <is>
          <t>P017</t>
        </is>
      </c>
      <c r="D18" s="66">
        <f>IF(C18="","",IFERROR(INDEX('Produtos'!$B$5:$B$204,MATCH(C18,'Produtos'!$A$5:$A$204,0)),"Código não cadastrado"))</f>
        <v/>
      </c>
      <c r="E18" s="58" t="inlineStr">
        <is>
          <t>Saída</t>
        </is>
      </c>
      <c r="F18" s="61" t="n">
        <v>98</v>
      </c>
      <c r="G18" s="59" t="inlineStr">
        <is>
          <t>Rosilene Barbosa</t>
        </is>
      </c>
      <c r="H18" s="59" t="inlineStr">
        <is>
          <t>Consumo interno</t>
        </is>
      </c>
      <c r="I18" s="67">
        <f>IF(OR(A18="",C18=""),"",IFERROR(INDEX('Produtos'!$F$5:$F$204,MATCH(C18,'Produtos'!$A$5:$A$204,0))+SUMIFS($F$5:$F$1004,$C$5:$C$1004,C18,$E$5:$E$1004,"Entrada",$A$5:$A$1004,"&lt;="&amp;A18)-SUMIFS($F$5:$F$1004,$C$5:$C$1004,C18,$E$5:$E$1004,"Saída",$A$5:$A$1004,"&lt;="&amp;A18),""))</f>
        <v/>
      </c>
      <c r="J18" s="68">
        <f>IF(A18="","",A18+ROW()/100000)</f>
        <v/>
      </c>
    </row>
    <row r="19">
      <c r="A19" s="65" t="n">
        <v>45804</v>
      </c>
      <c r="B19" s="58" t="inlineStr">
        <is>
          <t>MOV-0015</t>
        </is>
      </c>
      <c r="C19" s="58" t="inlineStr">
        <is>
          <t>P029</t>
        </is>
      </c>
      <c r="D19" s="66">
        <f>IF(C19="","",IFERROR(INDEX('Produtos'!$B$5:$B$204,MATCH(C19,'Produtos'!$A$5:$A$204,0)),"Código não cadastrado"))</f>
        <v/>
      </c>
      <c r="E19" s="58" t="inlineStr">
        <is>
          <t>Saída</t>
        </is>
      </c>
      <c r="F19" s="61" t="n">
        <v>2</v>
      </c>
      <c r="G19" s="59" t="inlineStr">
        <is>
          <t>Eliane Cunha</t>
        </is>
      </c>
      <c r="H19" s="59" t="inlineStr">
        <is>
          <t>Consumo interno</t>
        </is>
      </c>
      <c r="I19" s="67">
        <f>IF(OR(A19="",C19=""),"",IFERROR(INDEX('Produtos'!$F$5:$F$204,MATCH(C19,'Produtos'!$A$5:$A$204,0))+SUMIFS($F$5:$F$1004,$C$5:$C$1004,C19,$E$5:$E$1004,"Entrada",$A$5:$A$1004,"&lt;="&amp;A19)-SUMIFS($F$5:$F$1004,$C$5:$C$1004,C19,$E$5:$E$1004,"Saída",$A$5:$A$1004,"&lt;="&amp;A19),""))</f>
        <v/>
      </c>
      <c r="J19" s="68">
        <f>IF(A19="","",A19+ROW()/100000)</f>
        <v/>
      </c>
    </row>
    <row r="20">
      <c r="A20" s="65" t="n">
        <v>45806</v>
      </c>
      <c r="B20" s="58" t="inlineStr">
        <is>
          <t>MOV-0016</t>
        </is>
      </c>
      <c r="C20" s="58" t="inlineStr">
        <is>
          <t>P004</t>
        </is>
      </c>
      <c r="D20" s="66">
        <f>IF(C20="","",IFERROR(INDEX('Produtos'!$B$5:$B$204,MATCH(C20,'Produtos'!$A$5:$A$204,0)),"Código não cadastrado"))</f>
        <v/>
      </c>
      <c r="E20" s="58" t="inlineStr">
        <is>
          <t>Saída</t>
        </is>
      </c>
      <c r="F20" s="61" t="n">
        <v>6</v>
      </c>
      <c r="G20" s="59" t="inlineStr">
        <is>
          <t>Wellington Farias</t>
        </is>
      </c>
      <c r="H20" s="59" t="inlineStr">
        <is>
          <t>Saída para equipe de campo</t>
        </is>
      </c>
      <c r="I20" s="67">
        <f>IF(OR(A20="",C20=""),"",IFERROR(INDEX('Produtos'!$F$5:$F$204,MATCH(C20,'Produtos'!$A$5:$A$204,0))+SUMIFS($F$5:$F$1004,$C$5:$C$1004,C20,$E$5:$E$1004,"Entrada",$A$5:$A$1004,"&lt;="&amp;A20)-SUMIFS($F$5:$F$1004,$C$5:$C$1004,C20,$E$5:$E$1004,"Saída",$A$5:$A$1004,"&lt;="&amp;A20),""))</f>
        <v/>
      </c>
      <c r="J20" s="68">
        <f>IF(A20="","",A20+ROW()/100000)</f>
        <v/>
      </c>
    </row>
    <row r="21">
      <c r="A21" s="65" t="n">
        <v>45806</v>
      </c>
      <c r="B21" s="58" t="inlineStr">
        <is>
          <t>MOV-0017</t>
        </is>
      </c>
      <c r="C21" s="58" t="inlineStr">
        <is>
          <t>P020</t>
        </is>
      </c>
      <c r="D21" s="66">
        <f>IF(C21="","",IFERROR(INDEX('Produtos'!$B$5:$B$204,MATCH(C21,'Produtos'!$A$5:$A$204,0)),"Código não cadastrado"))</f>
        <v/>
      </c>
      <c r="E21" s="58" t="inlineStr">
        <is>
          <t>Saída</t>
        </is>
      </c>
      <c r="F21" s="61" t="n">
        <v>9</v>
      </c>
      <c r="G21" s="59" t="inlineStr">
        <is>
          <t>Elinaldo Oliveira</t>
        </is>
      </c>
      <c r="H21" s="59" t="inlineStr">
        <is>
          <t>Entrega de EPI a colaborador</t>
        </is>
      </c>
      <c r="I21" s="67">
        <f>IF(OR(A21="",C21=""),"",IFERROR(INDEX('Produtos'!$F$5:$F$204,MATCH(C21,'Produtos'!$A$5:$A$204,0))+SUMIFS($F$5:$F$1004,$C$5:$C$1004,C21,$E$5:$E$1004,"Entrada",$A$5:$A$1004,"&lt;="&amp;A21)-SUMIFS($F$5:$F$1004,$C$5:$C$1004,C21,$E$5:$E$1004,"Saída",$A$5:$A$1004,"&lt;="&amp;A21),""))</f>
        <v/>
      </c>
      <c r="J21" s="68">
        <f>IF(A21="","",A21+ROW()/100000)</f>
        <v/>
      </c>
    </row>
    <row r="22">
      <c r="A22" s="65" t="n">
        <v>45807</v>
      </c>
      <c r="B22" s="58" t="inlineStr">
        <is>
          <t>MOV-0018</t>
        </is>
      </c>
      <c r="C22" s="58" t="inlineStr">
        <is>
          <t>P011</t>
        </is>
      </c>
      <c r="D22" s="66">
        <f>IF(C22="","",IFERROR(INDEX('Produtos'!$B$5:$B$204,MATCH(C22,'Produtos'!$A$5:$A$204,0)),"Código não cadastrado"))</f>
        <v/>
      </c>
      <c r="E22" s="58" t="inlineStr">
        <is>
          <t>Entrada</t>
        </is>
      </c>
      <c r="F22" s="61" t="n">
        <v>10</v>
      </c>
      <c r="G22" s="59" t="inlineStr">
        <is>
          <t>Elinaldo Oliveira</t>
        </is>
      </c>
      <c r="H22" s="59" t="inlineStr">
        <is>
          <t>Recebimento de fornecedor</t>
        </is>
      </c>
      <c r="I22" s="67">
        <f>IF(OR(A22="",C22=""),"",IFERROR(INDEX('Produtos'!$F$5:$F$204,MATCH(C22,'Produtos'!$A$5:$A$204,0))+SUMIFS($F$5:$F$1004,$C$5:$C$1004,C22,$E$5:$E$1004,"Entrada",$A$5:$A$1004,"&lt;="&amp;A22)-SUMIFS($F$5:$F$1004,$C$5:$C$1004,C22,$E$5:$E$1004,"Saída",$A$5:$A$1004,"&lt;="&amp;A22),""))</f>
        <v/>
      </c>
      <c r="J22" s="68">
        <f>IF(A22="","",A22+ROW()/100000)</f>
        <v/>
      </c>
    </row>
    <row r="23">
      <c r="A23" s="65" t="n">
        <v>45808</v>
      </c>
      <c r="B23" s="58" t="inlineStr">
        <is>
          <t>MOV-0019</t>
        </is>
      </c>
      <c r="C23" s="58" t="inlineStr">
        <is>
          <t>P001</t>
        </is>
      </c>
      <c r="D23" s="66">
        <f>IF(C23="","",IFERROR(INDEX('Produtos'!$B$5:$B$204,MATCH(C23,'Produtos'!$A$5:$A$204,0)),"Código não cadastrado"))</f>
        <v/>
      </c>
      <c r="E23" s="58" t="inlineStr">
        <is>
          <t>Saída</t>
        </is>
      </c>
      <c r="F23" s="61" t="n">
        <v>7</v>
      </c>
      <c r="G23" s="59" t="inlineStr">
        <is>
          <t>Wellington Farias</t>
        </is>
      </c>
      <c r="H23" s="59" t="inlineStr">
        <is>
          <t>Saída para equipe de campo</t>
        </is>
      </c>
      <c r="I23" s="67">
        <f>IF(OR(A23="",C23=""),"",IFERROR(INDEX('Produtos'!$F$5:$F$204,MATCH(C23,'Produtos'!$A$5:$A$204,0))+SUMIFS($F$5:$F$1004,$C$5:$C$1004,C23,$E$5:$E$1004,"Entrada",$A$5:$A$1004,"&lt;="&amp;A23)-SUMIFS($F$5:$F$1004,$C$5:$C$1004,C23,$E$5:$E$1004,"Saída",$A$5:$A$1004,"&lt;="&amp;A23),""))</f>
        <v/>
      </c>
      <c r="J23" s="68">
        <f>IF(A23="","",A23+ROW()/100000)</f>
        <v/>
      </c>
    </row>
    <row r="24">
      <c r="A24" s="65" t="n">
        <v>45808</v>
      </c>
      <c r="B24" s="58" t="inlineStr">
        <is>
          <t>MOV-0020</t>
        </is>
      </c>
      <c r="C24" s="58" t="inlineStr">
        <is>
          <t>P010</t>
        </is>
      </c>
      <c r="D24" s="66">
        <f>IF(C24="","",IFERROR(INDEX('Produtos'!$B$5:$B$204,MATCH(C24,'Produtos'!$A$5:$A$204,0)),"Código não cadastrado"))</f>
        <v/>
      </c>
      <c r="E24" s="58" t="inlineStr">
        <is>
          <t>Saída</t>
        </is>
      </c>
      <c r="F24" s="61" t="n">
        <v>1</v>
      </c>
      <c r="G24" s="59" t="inlineStr">
        <is>
          <t>Rodrigo Oliveira</t>
        </is>
      </c>
      <c r="H24" s="59" t="inlineStr">
        <is>
          <t>Saída para equipe de campo</t>
        </is>
      </c>
      <c r="I24" s="67">
        <f>IF(OR(A24="",C24=""),"",IFERROR(INDEX('Produtos'!$F$5:$F$204,MATCH(C24,'Produtos'!$A$5:$A$204,0))+SUMIFS($F$5:$F$1004,$C$5:$C$1004,C24,$E$5:$E$1004,"Entrada",$A$5:$A$1004,"&lt;="&amp;A24)-SUMIFS($F$5:$F$1004,$C$5:$C$1004,C24,$E$5:$E$1004,"Saída",$A$5:$A$1004,"&lt;="&amp;A24),""))</f>
        <v/>
      </c>
      <c r="J24" s="68">
        <f>IF(A24="","",A24+ROW()/100000)</f>
        <v/>
      </c>
    </row>
    <row r="25">
      <c r="A25" s="65" t="n">
        <v>45808</v>
      </c>
      <c r="B25" s="58" t="inlineStr">
        <is>
          <t>MOV-0021</t>
        </is>
      </c>
      <c r="C25" s="58" t="inlineStr">
        <is>
          <t>P020</t>
        </is>
      </c>
      <c r="D25" s="66">
        <f>IF(C25="","",IFERROR(INDEX('Produtos'!$B$5:$B$204,MATCH(C25,'Produtos'!$A$5:$A$204,0)),"Código não cadastrado"))</f>
        <v/>
      </c>
      <c r="E25" s="58" t="inlineStr">
        <is>
          <t>Saída</t>
        </is>
      </c>
      <c r="F25" s="61" t="n">
        <v>10</v>
      </c>
      <c r="G25" s="59" t="inlineStr">
        <is>
          <t>Elinaldo Oliveira</t>
        </is>
      </c>
      <c r="H25" s="59" t="inlineStr">
        <is>
          <t>Entrega de EPI a colaborador</t>
        </is>
      </c>
      <c r="I25" s="67">
        <f>IF(OR(A25="",C25=""),"",IFERROR(INDEX('Produtos'!$F$5:$F$204,MATCH(C25,'Produtos'!$A$5:$A$204,0))+SUMIFS($F$5:$F$1004,$C$5:$C$1004,C25,$E$5:$E$1004,"Entrada",$A$5:$A$1004,"&lt;="&amp;A25)-SUMIFS($F$5:$F$1004,$C$5:$C$1004,C25,$E$5:$E$1004,"Saída",$A$5:$A$1004,"&lt;="&amp;A25),""))</f>
        <v/>
      </c>
      <c r="J25" s="68">
        <f>IF(A25="","",A25+ROW()/100000)</f>
        <v/>
      </c>
    </row>
    <row r="26">
      <c r="A26" s="65" t="n">
        <v>45810</v>
      </c>
      <c r="B26" s="58" t="inlineStr">
        <is>
          <t>MOV-0022</t>
        </is>
      </c>
      <c r="C26" s="58" t="inlineStr">
        <is>
          <t>P028</t>
        </is>
      </c>
      <c r="D26" s="66">
        <f>IF(C26="","",IFERROR(INDEX('Produtos'!$B$5:$B$204,MATCH(C26,'Produtos'!$A$5:$A$204,0)),"Código não cadastrado"))</f>
        <v/>
      </c>
      <c r="E26" s="58" t="inlineStr">
        <is>
          <t>Saída</t>
        </is>
      </c>
      <c r="F26" s="61" t="n">
        <v>8</v>
      </c>
      <c r="G26" s="59" t="inlineStr">
        <is>
          <t>Eliane Cunha</t>
        </is>
      </c>
      <c r="H26" s="59" t="inlineStr">
        <is>
          <t>Consumo interno</t>
        </is>
      </c>
      <c r="I26" s="67">
        <f>IF(OR(A26="",C26=""),"",IFERROR(INDEX('Produtos'!$F$5:$F$204,MATCH(C26,'Produtos'!$A$5:$A$204,0))+SUMIFS($F$5:$F$1004,$C$5:$C$1004,C26,$E$5:$E$1004,"Entrada",$A$5:$A$1004,"&lt;="&amp;A26)-SUMIFS($F$5:$F$1004,$C$5:$C$1004,C26,$E$5:$E$1004,"Saída",$A$5:$A$1004,"&lt;="&amp;A26),""))</f>
        <v/>
      </c>
      <c r="J26" s="68">
        <f>IF(A26="","",A26+ROW()/100000)</f>
        <v/>
      </c>
    </row>
    <row r="27">
      <c r="A27" s="65" t="n">
        <v>45811</v>
      </c>
      <c r="B27" s="58" t="inlineStr">
        <is>
          <t>MOV-0023</t>
        </is>
      </c>
      <c r="C27" s="58" t="inlineStr">
        <is>
          <t>P012</t>
        </is>
      </c>
      <c r="D27" s="66">
        <f>IF(C27="","",IFERROR(INDEX('Produtos'!$B$5:$B$204,MATCH(C27,'Produtos'!$A$5:$A$204,0)),"Código não cadastrado"))</f>
        <v/>
      </c>
      <c r="E27" s="58" t="inlineStr">
        <is>
          <t>Entrada</t>
        </is>
      </c>
      <c r="F27" s="61" t="n">
        <v>3</v>
      </c>
      <c r="G27" s="59" t="inlineStr">
        <is>
          <t>Bruno Estevam</t>
        </is>
      </c>
      <c r="H27" s="59" t="inlineStr">
        <is>
          <t>Devolução de técnico</t>
        </is>
      </c>
      <c r="I27" s="67">
        <f>IF(OR(A27="",C27=""),"",IFERROR(INDEX('Produtos'!$F$5:$F$204,MATCH(C27,'Produtos'!$A$5:$A$204,0))+SUMIFS($F$5:$F$1004,$C$5:$C$1004,C27,$E$5:$E$1004,"Entrada",$A$5:$A$1004,"&lt;="&amp;A27)-SUMIFS($F$5:$F$1004,$C$5:$C$1004,C27,$E$5:$E$1004,"Saída",$A$5:$A$1004,"&lt;="&amp;A27),""))</f>
        <v/>
      </c>
      <c r="J27" s="68">
        <f>IF(A27="","",A27+ROW()/100000)</f>
        <v/>
      </c>
    </row>
    <row r="28">
      <c r="A28" s="65" t="n">
        <v>45811</v>
      </c>
      <c r="B28" s="58" t="inlineStr">
        <is>
          <t>MOV-0024</t>
        </is>
      </c>
      <c r="C28" s="58" t="inlineStr">
        <is>
          <t>P015</t>
        </is>
      </c>
      <c r="D28" s="66">
        <f>IF(C28="","",IFERROR(INDEX('Produtos'!$B$5:$B$204,MATCH(C28,'Produtos'!$A$5:$A$204,0)),"Código não cadastrado"))</f>
        <v/>
      </c>
      <c r="E28" s="58" t="inlineStr">
        <is>
          <t>Saída</t>
        </is>
      </c>
      <c r="F28" s="61" t="n">
        <v>61</v>
      </c>
      <c r="G28" s="59" t="inlineStr">
        <is>
          <t>Rosilene Barbosa</t>
        </is>
      </c>
      <c r="H28" s="59" t="inlineStr">
        <is>
          <t>Expedição de pedido</t>
        </is>
      </c>
      <c r="I28" s="67">
        <f>IF(OR(A28="",C28=""),"",IFERROR(INDEX('Produtos'!$F$5:$F$204,MATCH(C28,'Produtos'!$A$5:$A$204,0))+SUMIFS($F$5:$F$1004,$C$5:$C$1004,C28,$E$5:$E$1004,"Entrada",$A$5:$A$1004,"&lt;="&amp;A28)-SUMIFS($F$5:$F$1004,$C$5:$C$1004,C28,$E$5:$E$1004,"Saída",$A$5:$A$1004,"&lt;="&amp;A28),""))</f>
        <v/>
      </c>
      <c r="J28" s="68">
        <f>IF(A28="","",A28+ROW()/100000)</f>
        <v/>
      </c>
    </row>
    <row r="29">
      <c r="A29" s="65" t="n">
        <v>45812</v>
      </c>
      <c r="B29" s="58" t="inlineStr">
        <is>
          <t>MOV-0025</t>
        </is>
      </c>
      <c r="C29" s="58" t="inlineStr">
        <is>
          <t>P025</t>
        </is>
      </c>
      <c r="D29" s="66">
        <f>IF(C29="","",IFERROR(INDEX('Produtos'!$B$5:$B$204,MATCH(C29,'Produtos'!$A$5:$A$204,0)),"Código não cadastrado"))</f>
        <v/>
      </c>
      <c r="E29" s="58" t="inlineStr">
        <is>
          <t>Saída</t>
        </is>
      </c>
      <c r="F29" s="61" t="n">
        <v>44</v>
      </c>
      <c r="G29" s="59" t="inlineStr">
        <is>
          <t>Elinaldo Oliveira</t>
        </is>
      </c>
      <c r="H29" s="59" t="inlineStr">
        <is>
          <t>Saída para manutenção</t>
        </is>
      </c>
      <c r="I29" s="67">
        <f>IF(OR(A29="",C29=""),"",IFERROR(INDEX('Produtos'!$F$5:$F$204,MATCH(C29,'Produtos'!$A$5:$A$204,0))+SUMIFS($F$5:$F$1004,$C$5:$C$1004,C29,$E$5:$E$1004,"Entrada",$A$5:$A$1004,"&lt;="&amp;A29)-SUMIFS($F$5:$F$1004,$C$5:$C$1004,C29,$E$5:$E$1004,"Saída",$A$5:$A$1004,"&lt;="&amp;A29),""))</f>
        <v/>
      </c>
      <c r="J29" s="68">
        <f>IF(A29="","",A29+ROW()/100000)</f>
        <v/>
      </c>
    </row>
    <row r="30">
      <c r="A30" s="65" t="n">
        <v>45814</v>
      </c>
      <c r="B30" s="58" t="inlineStr">
        <is>
          <t>MOV-0026</t>
        </is>
      </c>
      <c r="C30" s="58" t="inlineStr">
        <is>
          <t>P009</t>
        </is>
      </c>
      <c r="D30" s="66">
        <f>IF(C30="","",IFERROR(INDEX('Produtos'!$B$5:$B$204,MATCH(C30,'Produtos'!$A$5:$A$204,0)),"Código não cadastrado"))</f>
        <v/>
      </c>
      <c r="E30" s="58" t="inlineStr">
        <is>
          <t>Saída</t>
        </is>
      </c>
      <c r="F30" s="61" t="n">
        <v>17</v>
      </c>
      <c r="G30" s="59" t="inlineStr">
        <is>
          <t>Rodrigo Oliveira</t>
        </is>
      </c>
      <c r="H30" s="59" t="inlineStr">
        <is>
          <t>Saída para equipe de campo</t>
        </is>
      </c>
      <c r="I30" s="67">
        <f>IF(OR(A30="",C30=""),"",IFERROR(INDEX('Produtos'!$F$5:$F$204,MATCH(C30,'Produtos'!$A$5:$A$204,0))+SUMIFS($F$5:$F$1004,$C$5:$C$1004,C30,$E$5:$E$1004,"Entrada",$A$5:$A$1004,"&lt;="&amp;A30)-SUMIFS($F$5:$F$1004,$C$5:$C$1004,C30,$E$5:$E$1004,"Saída",$A$5:$A$1004,"&lt;="&amp;A30),""))</f>
        <v/>
      </c>
      <c r="J30" s="68">
        <f>IF(A30="","",A30+ROW()/100000)</f>
        <v/>
      </c>
    </row>
    <row r="31">
      <c r="A31" s="65" t="n">
        <v>45814</v>
      </c>
      <c r="B31" s="58" t="inlineStr">
        <is>
          <t>MOV-0027</t>
        </is>
      </c>
      <c r="C31" s="58" t="inlineStr">
        <is>
          <t>P018</t>
        </is>
      </c>
      <c r="D31" s="66">
        <f>IF(C31="","",IFERROR(INDEX('Produtos'!$B$5:$B$204,MATCH(C31,'Produtos'!$A$5:$A$204,0)),"Código não cadastrado"))</f>
        <v/>
      </c>
      <c r="E31" s="58" t="inlineStr">
        <is>
          <t>Saída</t>
        </is>
      </c>
      <c r="F31" s="61" t="n">
        <v>10</v>
      </c>
      <c r="G31" s="59" t="inlineStr">
        <is>
          <t>Rosilene Barbosa</t>
        </is>
      </c>
      <c r="H31" s="59" t="inlineStr">
        <is>
          <t>Consumo interno</t>
        </is>
      </c>
      <c r="I31" s="67">
        <f>IF(OR(A31="",C31=""),"",IFERROR(INDEX('Produtos'!$F$5:$F$204,MATCH(C31,'Produtos'!$A$5:$A$204,0))+SUMIFS($F$5:$F$1004,$C$5:$C$1004,C31,$E$5:$E$1004,"Entrada",$A$5:$A$1004,"&lt;="&amp;A31)-SUMIFS($F$5:$F$1004,$C$5:$C$1004,C31,$E$5:$E$1004,"Saída",$A$5:$A$1004,"&lt;="&amp;A31),""))</f>
        <v/>
      </c>
      <c r="J31" s="68">
        <f>IF(A31="","",A31+ROW()/100000)</f>
        <v/>
      </c>
    </row>
    <row r="32">
      <c r="A32" s="65" t="n">
        <v>45815</v>
      </c>
      <c r="B32" s="58" t="inlineStr">
        <is>
          <t>MOV-0028</t>
        </is>
      </c>
      <c r="C32" s="58" t="inlineStr">
        <is>
          <t>P007</t>
        </is>
      </c>
      <c r="D32" s="66">
        <f>IF(C32="","",IFERROR(INDEX('Produtos'!$B$5:$B$204,MATCH(C32,'Produtos'!$A$5:$A$204,0)),"Código não cadastrado"))</f>
        <v/>
      </c>
      <c r="E32" s="58" t="inlineStr">
        <is>
          <t>Saída</t>
        </is>
      </c>
      <c r="F32" s="61" t="n">
        <v>8</v>
      </c>
      <c r="G32" s="59" t="inlineStr">
        <is>
          <t>Wellington Farias</t>
        </is>
      </c>
      <c r="H32" s="59" t="inlineStr">
        <is>
          <t>Instalação em cliente</t>
        </is>
      </c>
      <c r="I32" s="67">
        <f>IF(OR(A32="",C32=""),"",IFERROR(INDEX('Produtos'!$F$5:$F$204,MATCH(C32,'Produtos'!$A$5:$A$204,0))+SUMIFS($F$5:$F$1004,$C$5:$C$1004,C32,$E$5:$E$1004,"Entrada",$A$5:$A$1004,"&lt;="&amp;A32)-SUMIFS($F$5:$F$1004,$C$5:$C$1004,C32,$E$5:$E$1004,"Saída",$A$5:$A$1004,"&lt;="&amp;A32),""))</f>
        <v/>
      </c>
      <c r="J32" s="68">
        <f>IF(A32="","",A32+ROW()/100000)</f>
        <v/>
      </c>
    </row>
    <row r="33">
      <c r="A33" s="65" t="n">
        <v>45815</v>
      </c>
      <c r="B33" s="58" t="inlineStr">
        <is>
          <t>MOV-0029</t>
        </is>
      </c>
      <c r="C33" s="58" t="inlineStr">
        <is>
          <t>P021</t>
        </is>
      </c>
      <c r="D33" s="66">
        <f>IF(C33="","",IFERROR(INDEX('Produtos'!$B$5:$B$204,MATCH(C33,'Produtos'!$A$5:$A$204,0)),"Código não cadastrado"))</f>
        <v/>
      </c>
      <c r="E33" s="58" t="inlineStr">
        <is>
          <t>Saída</t>
        </is>
      </c>
      <c r="F33" s="61" t="n">
        <v>4</v>
      </c>
      <c r="G33" s="59" t="inlineStr">
        <is>
          <t>Bruno Estevam</t>
        </is>
      </c>
      <c r="H33" s="59" t="inlineStr">
        <is>
          <t>Entrega de EPI a colaborador</t>
        </is>
      </c>
      <c r="I33" s="67">
        <f>IF(OR(A33="",C33=""),"",IFERROR(INDEX('Produtos'!$F$5:$F$204,MATCH(C33,'Produtos'!$A$5:$A$204,0))+SUMIFS($F$5:$F$1004,$C$5:$C$1004,C33,$E$5:$E$1004,"Entrada",$A$5:$A$1004,"&lt;="&amp;A33)-SUMIFS($F$5:$F$1004,$C$5:$C$1004,C33,$E$5:$E$1004,"Saída",$A$5:$A$1004,"&lt;="&amp;A33),""))</f>
        <v/>
      </c>
      <c r="J33" s="68">
        <f>IF(A33="","",A33+ROW()/100000)</f>
        <v/>
      </c>
    </row>
    <row r="34">
      <c r="A34" s="65" t="n">
        <v>45817</v>
      </c>
      <c r="B34" s="58" t="inlineStr">
        <is>
          <t>MOV-0030</t>
        </is>
      </c>
      <c r="C34" s="58" t="inlineStr">
        <is>
          <t>P028</t>
        </is>
      </c>
      <c r="D34" s="66">
        <f>IF(C34="","",IFERROR(INDEX('Produtos'!$B$5:$B$204,MATCH(C34,'Produtos'!$A$5:$A$204,0)),"Código não cadastrado"))</f>
        <v/>
      </c>
      <c r="E34" s="58" t="inlineStr">
        <is>
          <t>Entrada</t>
        </is>
      </c>
      <c r="F34" s="61" t="n">
        <v>36</v>
      </c>
      <c r="G34" s="59" t="inlineStr">
        <is>
          <t>Elinaldo Oliveira</t>
        </is>
      </c>
      <c r="H34" s="59" t="inlineStr">
        <is>
          <t>Recebimento de fornecedor</t>
        </is>
      </c>
      <c r="I34" s="67">
        <f>IF(OR(A34="",C34=""),"",IFERROR(INDEX('Produtos'!$F$5:$F$204,MATCH(C34,'Produtos'!$A$5:$A$204,0))+SUMIFS($F$5:$F$1004,$C$5:$C$1004,C34,$E$5:$E$1004,"Entrada",$A$5:$A$1004,"&lt;="&amp;A34)-SUMIFS($F$5:$F$1004,$C$5:$C$1004,C34,$E$5:$E$1004,"Saída",$A$5:$A$1004,"&lt;="&amp;A34),""))</f>
        <v/>
      </c>
      <c r="J34" s="68">
        <f>IF(A34="","",A34+ROW()/100000)</f>
        <v/>
      </c>
    </row>
    <row r="35">
      <c r="A35" s="65" t="n">
        <v>45818</v>
      </c>
      <c r="B35" s="58" t="inlineStr">
        <is>
          <t>MOV-0031</t>
        </is>
      </c>
      <c r="C35" s="58" t="inlineStr">
        <is>
          <t>P003</t>
        </is>
      </c>
      <c r="D35" s="66">
        <f>IF(C35="","",IFERROR(INDEX('Produtos'!$B$5:$B$204,MATCH(C35,'Produtos'!$A$5:$A$204,0)),"Código não cadastrado"))</f>
        <v/>
      </c>
      <c r="E35" s="58" t="inlineStr">
        <is>
          <t>Saída</t>
        </is>
      </c>
      <c r="F35" s="61" t="n">
        <v>17</v>
      </c>
      <c r="G35" s="59" t="inlineStr">
        <is>
          <t>Rodrigo Oliveira</t>
        </is>
      </c>
      <c r="H35" s="59" t="inlineStr">
        <is>
          <t>Saída para equipe de campo</t>
        </is>
      </c>
      <c r="I35" s="67">
        <f>IF(OR(A35="",C35=""),"",IFERROR(INDEX('Produtos'!$F$5:$F$204,MATCH(C35,'Produtos'!$A$5:$A$204,0))+SUMIFS($F$5:$F$1004,$C$5:$C$1004,C35,$E$5:$E$1004,"Entrada",$A$5:$A$1004,"&lt;="&amp;A35)-SUMIFS($F$5:$F$1004,$C$5:$C$1004,C35,$E$5:$E$1004,"Saída",$A$5:$A$1004,"&lt;="&amp;A35),""))</f>
        <v/>
      </c>
      <c r="J35" s="68">
        <f>IF(A35="","",A35+ROW()/100000)</f>
        <v/>
      </c>
    </row>
    <row r="36">
      <c r="A36" s="65" t="n">
        <v>45818</v>
      </c>
      <c r="B36" s="58" t="inlineStr">
        <is>
          <t>MOV-0032</t>
        </is>
      </c>
      <c r="C36" s="58" t="inlineStr">
        <is>
          <t>P018</t>
        </is>
      </c>
      <c r="D36" s="66">
        <f>IF(C36="","",IFERROR(INDEX('Produtos'!$B$5:$B$204,MATCH(C36,'Produtos'!$A$5:$A$204,0)),"Código não cadastrado"))</f>
        <v/>
      </c>
      <c r="E36" s="58" t="inlineStr">
        <is>
          <t>Saída</t>
        </is>
      </c>
      <c r="F36" s="61" t="n">
        <v>7</v>
      </c>
      <c r="G36" s="59" t="inlineStr">
        <is>
          <t>Rosilene Barbosa</t>
        </is>
      </c>
      <c r="H36" s="59" t="inlineStr">
        <is>
          <t>Expedição de pedido</t>
        </is>
      </c>
      <c r="I36" s="67">
        <f>IF(OR(A36="",C36=""),"",IFERROR(INDEX('Produtos'!$F$5:$F$204,MATCH(C36,'Produtos'!$A$5:$A$204,0))+SUMIFS($F$5:$F$1004,$C$5:$C$1004,C36,$E$5:$E$1004,"Entrada",$A$5:$A$1004,"&lt;="&amp;A36)-SUMIFS($F$5:$F$1004,$C$5:$C$1004,C36,$E$5:$E$1004,"Saída",$A$5:$A$1004,"&lt;="&amp;A36),""))</f>
        <v/>
      </c>
      <c r="J36" s="68">
        <f>IF(A36="","",A36+ROW()/100000)</f>
        <v/>
      </c>
    </row>
    <row r="37">
      <c r="A37" s="65" t="n">
        <v>45819</v>
      </c>
      <c r="B37" s="58" t="inlineStr">
        <is>
          <t>MOV-0033</t>
        </is>
      </c>
      <c r="C37" s="58" t="inlineStr">
        <is>
          <t>P013</t>
        </is>
      </c>
      <c r="D37" s="66">
        <f>IF(C37="","",IFERROR(INDEX('Produtos'!$B$5:$B$204,MATCH(C37,'Produtos'!$A$5:$A$204,0)),"Código não cadastrado"))</f>
        <v/>
      </c>
      <c r="E37" s="58" t="inlineStr">
        <is>
          <t>Saída</t>
        </is>
      </c>
      <c r="F37" s="61" t="n">
        <v>1</v>
      </c>
      <c r="G37" s="59" t="inlineStr">
        <is>
          <t>Elinaldo Oliveira</t>
        </is>
      </c>
      <c r="H37" s="59" t="inlineStr">
        <is>
          <t>Substituição de ferramenta</t>
        </is>
      </c>
      <c r="I37" s="67">
        <f>IF(OR(A37="",C37=""),"",IFERROR(INDEX('Produtos'!$F$5:$F$204,MATCH(C37,'Produtos'!$A$5:$A$204,0))+SUMIFS($F$5:$F$1004,$C$5:$C$1004,C37,$E$5:$E$1004,"Entrada",$A$5:$A$1004,"&lt;="&amp;A37)-SUMIFS($F$5:$F$1004,$C$5:$C$1004,C37,$E$5:$E$1004,"Saída",$A$5:$A$1004,"&lt;="&amp;A37),""))</f>
        <v/>
      </c>
      <c r="J37" s="68">
        <f>IF(A37="","",A37+ROW()/100000)</f>
        <v/>
      </c>
    </row>
    <row r="38">
      <c r="A38" s="65" t="n">
        <v>45819</v>
      </c>
      <c r="B38" s="58" t="inlineStr">
        <is>
          <t>MOV-0034</t>
        </is>
      </c>
      <c r="C38" s="58" t="inlineStr">
        <is>
          <t>P019</t>
        </is>
      </c>
      <c r="D38" s="66">
        <f>IF(C38="","",IFERROR(INDEX('Produtos'!$B$5:$B$204,MATCH(C38,'Produtos'!$A$5:$A$204,0)),"Código não cadastrado"))</f>
        <v/>
      </c>
      <c r="E38" s="58" t="inlineStr">
        <is>
          <t>Saída</t>
        </is>
      </c>
      <c r="F38" s="61" t="n">
        <v>23</v>
      </c>
      <c r="G38" s="59" t="inlineStr">
        <is>
          <t>Elinaldo Oliveira</t>
        </is>
      </c>
      <c r="H38" s="59" t="inlineStr">
        <is>
          <t>Entrega de EPI a colaborador</t>
        </is>
      </c>
      <c r="I38" s="67">
        <f>IF(OR(A38="",C38=""),"",IFERROR(INDEX('Produtos'!$F$5:$F$204,MATCH(C38,'Produtos'!$A$5:$A$204,0))+SUMIFS($F$5:$F$1004,$C$5:$C$1004,C38,$E$5:$E$1004,"Entrada",$A$5:$A$1004,"&lt;="&amp;A38)-SUMIFS($F$5:$F$1004,$C$5:$C$1004,C38,$E$5:$E$1004,"Saída",$A$5:$A$1004,"&lt;="&amp;A38),""))</f>
        <v/>
      </c>
      <c r="J38" s="68">
        <f>IF(A38="","",A38+ROW()/100000)</f>
        <v/>
      </c>
    </row>
    <row r="39">
      <c r="A39" s="65" t="n">
        <v>45819</v>
      </c>
      <c r="B39" s="58" t="inlineStr">
        <is>
          <t>MOV-0035</t>
        </is>
      </c>
      <c r="C39" s="58" t="inlineStr">
        <is>
          <t>P021</t>
        </is>
      </c>
      <c r="D39" s="66">
        <f>IF(C39="","",IFERROR(INDEX('Produtos'!$B$5:$B$204,MATCH(C39,'Produtos'!$A$5:$A$204,0)),"Código não cadastrado"))</f>
        <v/>
      </c>
      <c r="E39" s="58" t="inlineStr">
        <is>
          <t>Saída</t>
        </is>
      </c>
      <c r="F39" s="61" t="n">
        <v>5</v>
      </c>
      <c r="G39" s="59" t="inlineStr">
        <is>
          <t>Bruno Estevam</t>
        </is>
      </c>
      <c r="H39" s="59" t="inlineStr">
        <is>
          <t>Entrega de EPI a colaborador</t>
        </is>
      </c>
      <c r="I39" s="67">
        <f>IF(OR(A39="",C39=""),"",IFERROR(INDEX('Produtos'!$F$5:$F$204,MATCH(C39,'Produtos'!$A$5:$A$204,0))+SUMIFS($F$5:$F$1004,$C$5:$C$1004,C39,$E$5:$E$1004,"Entrada",$A$5:$A$1004,"&lt;="&amp;A39)-SUMIFS($F$5:$F$1004,$C$5:$C$1004,C39,$E$5:$E$1004,"Saída",$A$5:$A$1004,"&lt;="&amp;A39),""))</f>
        <v/>
      </c>
      <c r="J39" s="68">
        <f>IF(A39="","",A39+ROW()/100000)</f>
        <v/>
      </c>
    </row>
    <row r="40">
      <c r="A40" s="65" t="n">
        <v>45819</v>
      </c>
      <c r="B40" s="58" t="inlineStr">
        <is>
          <t>MOV-0036</t>
        </is>
      </c>
      <c r="C40" s="58" t="inlineStr">
        <is>
          <t>P027</t>
        </is>
      </c>
      <c r="D40" s="66">
        <f>IF(C40="","",IFERROR(INDEX('Produtos'!$B$5:$B$204,MATCH(C40,'Produtos'!$A$5:$A$204,0)),"Código não cadastrado"))</f>
        <v/>
      </c>
      <c r="E40" s="58" t="inlineStr">
        <is>
          <t>Saída</t>
        </is>
      </c>
      <c r="F40" s="61" t="n">
        <v>5</v>
      </c>
      <c r="G40" s="59" t="inlineStr">
        <is>
          <t>Rodrigo Oliveira</t>
        </is>
      </c>
      <c r="H40" s="59" t="inlineStr">
        <is>
          <t>Saída para equipe de campo</t>
        </is>
      </c>
      <c r="I40" s="67">
        <f>IF(OR(A40="",C40=""),"",IFERROR(INDEX('Produtos'!$F$5:$F$204,MATCH(C40,'Produtos'!$A$5:$A$204,0))+SUMIFS($F$5:$F$1004,$C$5:$C$1004,C40,$E$5:$E$1004,"Entrada",$A$5:$A$1004,"&lt;="&amp;A40)-SUMIFS($F$5:$F$1004,$C$5:$C$1004,C40,$E$5:$E$1004,"Saída",$A$5:$A$1004,"&lt;="&amp;A40),""))</f>
        <v/>
      </c>
      <c r="J40" s="68">
        <f>IF(A40="","",A40+ROW()/100000)</f>
        <v/>
      </c>
    </row>
    <row r="41">
      <c r="A41" s="65" t="n">
        <v>45820</v>
      </c>
      <c r="B41" s="58" t="inlineStr">
        <is>
          <t>MOV-0037</t>
        </is>
      </c>
      <c r="C41" s="58" t="inlineStr">
        <is>
          <t>P002</t>
        </is>
      </c>
      <c r="D41" s="66">
        <f>IF(C41="","",IFERROR(INDEX('Produtos'!$B$5:$B$204,MATCH(C41,'Produtos'!$A$5:$A$204,0)),"Código não cadastrado"))</f>
        <v/>
      </c>
      <c r="E41" s="58" t="inlineStr">
        <is>
          <t>Saída</t>
        </is>
      </c>
      <c r="F41" s="61" t="n">
        <v>193</v>
      </c>
      <c r="G41" s="59" t="inlineStr">
        <is>
          <t>Rodrigo Oliveira</t>
        </is>
      </c>
      <c r="H41" s="59" t="inlineStr">
        <is>
          <t>Saída para equipe de campo</t>
        </is>
      </c>
      <c r="I41" s="67">
        <f>IF(OR(A41="",C41=""),"",IFERROR(INDEX('Produtos'!$F$5:$F$204,MATCH(C41,'Produtos'!$A$5:$A$204,0))+SUMIFS($F$5:$F$1004,$C$5:$C$1004,C41,$E$5:$E$1004,"Entrada",$A$5:$A$1004,"&lt;="&amp;A41)-SUMIFS($F$5:$F$1004,$C$5:$C$1004,C41,$E$5:$E$1004,"Saída",$A$5:$A$1004,"&lt;="&amp;A41),""))</f>
        <v/>
      </c>
      <c r="J41" s="68">
        <f>IF(A41="","",A41+ROW()/100000)</f>
        <v/>
      </c>
    </row>
    <row r="42">
      <c r="A42" s="65" t="n">
        <v>45820</v>
      </c>
      <c r="B42" s="58" t="inlineStr">
        <is>
          <t>MOV-0038</t>
        </is>
      </c>
      <c r="C42" s="58" t="inlineStr">
        <is>
          <t>P016</t>
        </is>
      </c>
      <c r="D42" s="66">
        <f>IF(C42="","",IFERROR(INDEX('Produtos'!$B$5:$B$204,MATCH(C42,'Produtos'!$A$5:$A$204,0)),"Código não cadastrado"))</f>
        <v/>
      </c>
      <c r="E42" s="58" t="inlineStr">
        <is>
          <t>Saída</t>
        </is>
      </c>
      <c r="F42" s="61" t="n">
        <v>21</v>
      </c>
      <c r="G42" s="59" t="inlineStr">
        <is>
          <t>Rosilene Barbosa</t>
        </is>
      </c>
      <c r="H42" s="59" t="inlineStr">
        <is>
          <t>Expedição de pedido</t>
        </is>
      </c>
      <c r="I42" s="67">
        <f>IF(OR(A42="",C42=""),"",IFERROR(INDEX('Produtos'!$F$5:$F$204,MATCH(C42,'Produtos'!$A$5:$A$204,0))+SUMIFS($F$5:$F$1004,$C$5:$C$1004,C42,$E$5:$E$1004,"Entrada",$A$5:$A$1004,"&lt;="&amp;A42)-SUMIFS($F$5:$F$1004,$C$5:$C$1004,C42,$E$5:$E$1004,"Saída",$A$5:$A$1004,"&lt;="&amp;A42),""))</f>
        <v/>
      </c>
      <c r="J42" s="68">
        <f>IF(A42="","",A42+ROW()/100000)</f>
        <v/>
      </c>
    </row>
    <row r="43">
      <c r="A43" s="65" t="n">
        <v>45820</v>
      </c>
      <c r="B43" s="58" t="inlineStr">
        <is>
          <t>MOV-0039</t>
        </is>
      </c>
      <c r="C43" s="58" t="inlineStr">
        <is>
          <t>P019</t>
        </is>
      </c>
      <c r="D43" s="66">
        <f>IF(C43="","",IFERROR(INDEX('Produtos'!$B$5:$B$204,MATCH(C43,'Produtos'!$A$5:$A$204,0)),"Código não cadastrado"))</f>
        <v/>
      </c>
      <c r="E43" s="58" t="inlineStr">
        <is>
          <t>Saída</t>
        </is>
      </c>
      <c r="F43" s="61" t="n">
        <v>22</v>
      </c>
      <c r="G43" s="59" t="inlineStr">
        <is>
          <t>Bruno Estevam</t>
        </is>
      </c>
      <c r="H43" s="59" t="inlineStr">
        <is>
          <t>Entrega de EPI a colaborador</t>
        </is>
      </c>
      <c r="I43" s="67">
        <f>IF(OR(A43="",C43=""),"",IFERROR(INDEX('Produtos'!$F$5:$F$204,MATCH(C43,'Produtos'!$A$5:$A$204,0))+SUMIFS($F$5:$F$1004,$C$5:$C$1004,C43,$E$5:$E$1004,"Entrada",$A$5:$A$1004,"&lt;="&amp;A43)-SUMIFS($F$5:$F$1004,$C$5:$C$1004,C43,$E$5:$E$1004,"Saída",$A$5:$A$1004,"&lt;="&amp;A43),""))</f>
        <v/>
      </c>
      <c r="J43" s="68">
        <f>IF(A43="","",A43+ROW()/100000)</f>
        <v/>
      </c>
    </row>
    <row r="44">
      <c r="A44" s="65" t="n">
        <v>45824</v>
      </c>
      <c r="B44" s="58" t="inlineStr">
        <is>
          <t>MOV-0040</t>
        </is>
      </c>
      <c r="C44" s="58" t="inlineStr">
        <is>
          <t>P003</t>
        </is>
      </c>
      <c r="D44" s="66">
        <f>IF(C44="","",IFERROR(INDEX('Produtos'!$B$5:$B$204,MATCH(C44,'Produtos'!$A$5:$A$204,0)),"Código não cadastrado"))</f>
        <v/>
      </c>
      <c r="E44" s="58" t="inlineStr">
        <is>
          <t>Entrada</t>
        </is>
      </c>
      <c r="F44" s="61" t="n">
        <v>51</v>
      </c>
      <c r="G44" s="59" t="inlineStr">
        <is>
          <t>Elinaldo Oliveira</t>
        </is>
      </c>
      <c r="H44" s="59" t="inlineStr">
        <is>
          <t>Recebimento de fornecedor</t>
        </is>
      </c>
      <c r="I44" s="67">
        <f>IF(OR(A44="",C44=""),"",IFERROR(INDEX('Produtos'!$F$5:$F$204,MATCH(C44,'Produtos'!$A$5:$A$204,0))+SUMIFS($F$5:$F$1004,$C$5:$C$1004,C44,$E$5:$E$1004,"Entrada",$A$5:$A$1004,"&lt;="&amp;A44)-SUMIFS($F$5:$F$1004,$C$5:$C$1004,C44,$E$5:$E$1004,"Saída",$A$5:$A$1004,"&lt;="&amp;A44),""))</f>
        <v/>
      </c>
      <c r="J44" s="68">
        <f>IF(A44="","",A44+ROW()/100000)</f>
        <v/>
      </c>
    </row>
    <row r="45">
      <c r="A45" s="65" t="n">
        <v>45824</v>
      </c>
      <c r="B45" s="58" t="inlineStr">
        <is>
          <t>MOV-0041</t>
        </is>
      </c>
      <c r="C45" s="58" t="inlineStr">
        <is>
          <t>P018</t>
        </is>
      </c>
      <c r="D45" s="66">
        <f>IF(C45="","",IFERROR(INDEX('Produtos'!$B$5:$B$204,MATCH(C45,'Produtos'!$A$5:$A$204,0)),"Código não cadastrado"))</f>
        <v/>
      </c>
      <c r="E45" s="58" t="inlineStr">
        <is>
          <t>Entrada</t>
        </is>
      </c>
      <c r="F45" s="61" t="n">
        <v>36</v>
      </c>
      <c r="G45" s="59" t="inlineStr">
        <is>
          <t>Eliane Cunha</t>
        </is>
      </c>
      <c r="H45" s="59" t="inlineStr">
        <is>
          <t>Recebimento de fornecedor</t>
        </is>
      </c>
      <c r="I45" s="67">
        <f>IF(OR(A45="",C45=""),"",IFERROR(INDEX('Produtos'!$F$5:$F$204,MATCH(C45,'Produtos'!$A$5:$A$204,0))+SUMIFS($F$5:$F$1004,$C$5:$C$1004,C45,$E$5:$E$1004,"Entrada",$A$5:$A$1004,"&lt;="&amp;A45)-SUMIFS($F$5:$F$1004,$C$5:$C$1004,C45,$E$5:$E$1004,"Saída",$A$5:$A$1004,"&lt;="&amp;A45),""))</f>
        <v/>
      </c>
      <c r="J45" s="68">
        <f>IF(A45="","",A45+ROW()/100000)</f>
        <v/>
      </c>
    </row>
    <row r="46">
      <c r="A46" s="65" t="n">
        <v>45824</v>
      </c>
      <c r="B46" s="58" t="inlineStr">
        <is>
          <t>MOV-0042</t>
        </is>
      </c>
      <c r="C46" s="58" t="inlineStr">
        <is>
          <t>P027</t>
        </is>
      </c>
      <c r="D46" s="66">
        <f>IF(C46="","",IFERROR(INDEX('Produtos'!$B$5:$B$204,MATCH(C46,'Produtos'!$A$5:$A$204,0)),"Código não cadastrado"))</f>
        <v/>
      </c>
      <c r="E46" s="58" t="inlineStr">
        <is>
          <t>Entrada</t>
        </is>
      </c>
      <c r="F46" s="61" t="n">
        <v>20</v>
      </c>
      <c r="G46" s="59" t="inlineStr">
        <is>
          <t>Eliane Cunha</t>
        </is>
      </c>
      <c r="H46" s="59" t="inlineStr">
        <is>
          <t>Recebimento de fornecedor</t>
        </is>
      </c>
      <c r="I46" s="67">
        <f>IF(OR(A46="",C46=""),"",IFERROR(INDEX('Produtos'!$F$5:$F$204,MATCH(C46,'Produtos'!$A$5:$A$204,0))+SUMIFS($F$5:$F$1004,$C$5:$C$1004,C46,$E$5:$E$1004,"Entrada",$A$5:$A$1004,"&lt;="&amp;A46)-SUMIFS($F$5:$F$1004,$C$5:$C$1004,C46,$E$5:$E$1004,"Saída",$A$5:$A$1004,"&lt;="&amp;A46),""))</f>
        <v/>
      </c>
      <c r="J46" s="68">
        <f>IF(A46="","",A46+ROW()/100000)</f>
        <v/>
      </c>
    </row>
    <row r="47">
      <c r="A47" s="65" t="n">
        <v>45824</v>
      </c>
      <c r="B47" s="58" t="inlineStr">
        <is>
          <t>MOV-0043</t>
        </is>
      </c>
      <c r="C47" s="58" t="inlineStr">
        <is>
          <t>P007</t>
        </is>
      </c>
      <c r="D47" s="66">
        <f>IF(C47="","",IFERROR(INDEX('Produtos'!$B$5:$B$204,MATCH(C47,'Produtos'!$A$5:$A$204,0)),"Código não cadastrado"))</f>
        <v/>
      </c>
      <c r="E47" s="58" t="inlineStr">
        <is>
          <t>Saída</t>
        </is>
      </c>
      <c r="F47" s="61" t="n">
        <v>10</v>
      </c>
      <c r="G47" s="59" t="inlineStr">
        <is>
          <t>Rodrigo Oliveira</t>
        </is>
      </c>
      <c r="H47" s="59" t="inlineStr">
        <is>
          <t>Instalação em cliente</t>
        </is>
      </c>
      <c r="I47" s="67">
        <f>IF(OR(A47="",C47=""),"",IFERROR(INDEX('Produtos'!$F$5:$F$204,MATCH(C47,'Produtos'!$A$5:$A$204,0))+SUMIFS($F$5:$F$1004,$C$5:$C$1004,C47,$E$5:$E$1004,"Entrada",$A$5:$A$1004,"&lt;="&amp;A47)-SUMIFS($F$5:$F$1004,$C$5:$C$1004,C47,$E$5:$E$1004,"Saída",$A$5:$A$1004,"&lt;="&amp;A47),""))</f>
        <v/>
      </c>
      <c r="J47" s="68">
        <f>IF(A47="","",A47+ROW()/100000)</f>
        <v/>
      </c>
    </row>
    <row r="48">
      <c r="A48" s="65" t="n">
        <v>45824</v>
      </c>
      <c r="B48" s="58" t="inlineStr">
        <is>
          <t>MOV-0044</t>
        </is>
      </c>
      <c r="C48" s="58" t="inlineStr">
        <is>
          <t>P020</t>
        </is>
      </c>
      <c r="D48" s="66">
        <f>IF(C48="","",IFERROR(INDEX('Produtos'!$B$5:$B$204,MATCH(C48,'Produtos'!$A$5:$A$204,0)),"Código não cadastrado"))</f>
        <v/>
      </c>
      <c r="E48" s="58" t="inlineStr">
        <is>
          <t>Saída</t>
        </is>
      </c>
      <c r="F48" s="61" t="n">
        <v>12</v>
      </c>
      <c r="G48" s="59" t="inlineStr">
        <is>
          <t>Bruno Estevam</t>
        </is>
      </c>
      <c r="H48" s="59" t="inlineStr">
        <is>
          <t>Entrega de EPI a colaborador</t>
        </is>
      </c>
      <c r="I48" s="67">
        <f>IF(OR(A48="",C48=""),"",IFERROR(INDEX('Produtos'!$F$5:$F$204,MATCH(C48,'Produtos'!$A$5:$A$204,0))+SUMIFS($F$5:$F$1004,$C$5:$C$1004,C48,$E$5:$E$1004,"Entrada",$A$5:$A$1004,"&lt;="&amp;A48)-SUMIFS($F$5:$F$1004,$C$5:$C$1004,C48,$E$5:$E$1004,"Saída",$A$5:$A$1004,"&lt;="&amp;A48),""))</f>
        <v/>
      </c>
      <c r="J48" s="68">
        <f>IF(A48="","",A48+ROW()/100000)</f>
        <v/>
      </c>
    </row>
    <row r="49">
      <c r="A49" s="65" t="n">
        <v>45825</v>
      </c>
      <c r="B49" s="58" t="inlineStr">
        <is>
          <t>MOV-0045</t>
        </is>
      </c>
      <c r="C49" s="58" t="inlineStr">
        <is>
          <t>P019</t>
        </is>
      </c>
      <c r="D49" s="66">
        <f>IF(C49="","",IFERROR(INDEX('Produtos'!$B$5:$B$204,MATCH(C49,'Produtos'!$A$5:$A$204,0)),"Código não cadastrado"))</f>
        <v/>
      </c>
      <c r="E49" s="58" t="inlineStr">
        <is>
          <t>Entrada</t>
        </is>
      </c>
      <c r="F49" s="61" t="n">
        <v>75</v>
      </c>
      <c r="G49" s="59" t="inlineStr">
        <is>
          <t>Elinaldo Oliveira</t>
        </is>
      </c>
      <c r="H49" s="59" t="inlineStr">
        <is>
          <t>Recebimento de fornecedor</t>
        </is>
      </c>
      <c r="I49" s="67">
        <f>IF(OR(A49="",C49=""),"",IFERROR(INDEX('Produtos'!$F$5:$F$204,MATCH(C49,'Produtos'!$A$5:$A$204,0))+SUMIFS($F$5:$F$1004,$C$5:$C$1004,C49,$E$5:$E$1004,"Entrada",$A$5:$A$1004,"&lt;="&amp;A49)-SUMIFS($F$5:$F$1004,$C$5:$C$1004,C49,$E$5:$E$1004,"Saída",$A$5:$A$1004,"&lt;="&amp;A49),""))</f>
        <v/>
      </c>
      <c r="J49" s="68">
        <f>IF(A49="","",A49+ROW()/100000)</f>
        <v/>
      </c>
    </row>
    <row r="50">
      <c r="A50" s="65" t="n">
        <v>45825</v>
      </c>
      <c r="B50" s="58" t="inlineStr">
        <is>
          <t>MOV-0046</t>
        </is>
      </c>
      <c r="C50" s="58" t="inlineStr">
        <is>
          <t>P015</t>
        </is>
      </c>
      <c r="D50" s="66">
        <f>IF(C50="","",IFERROR(INDEX('Produtos'!$B$5:$B$204,MATCH(C50,'Produtos'!$A$5:$A$204,0)),"Código não cadastrado"))</f>
        <v/>
      </c>
      <c r="E50" s="58" t="inlineStr">
        <is>
          <t>Saída</t>
        </is>
      </c>
      <c r="F50" s="61" t="n">
        <v>55</v>
      </c>
      <c r="G50" s="59" t="inlineStr">
        <is>
          <t>Rosilene Barbosa</t>
        </is>
      </c>
      <c r="H50" s="59" t="inlineStr">
        <is>
          <t>Expedição de pedido</t>
        </is>
      </c>
      <c r="I50" s="67">
        <f>IF(OR(A50="",C50=""),"",IFERROR(INDEX('Produtos'!$F$5:$F$204,MATCH(C50,'Produtos'!$A$5:$A$204,0))+SUMIFS($F$5:$F$1004,$C$5:$C$1004,C50,$E$5:$E$1004,"Entrada",$A$5:$A$1004,"&lt;="&amp;A50)-SUMIFS($F$5:$F$1004,$C$5:$C$1004,C50,$E$5:$E$1004,"Saída",$A$5:$A$1004,"&lt;="&amp;A50),""))</f>
        <v/>
      </c>
      <c r="J50" s="68">
        <f>IF(A50="","",A50+ROW()/100000)</f>
        <v/>
      </c>
    </row>
    <row r="51">
      <c r="A51" s="65" t="n">
        <v>45826</v>
      </c>
      <c r="B51" s="58" t="inlineStr">
        <is>
          <t>MOV-0047</t>
        </is>
      </c>
      <c r="C51" s="58" t="inlineStr">
        <is>
          <t>P023</t>
        </is>
      </c>
      <c r="D51" s="66">
        <f>IF(C51="","",IFERROR(INDEX('Produtos'!$B$5:$B$204,MATCH(C51,'Produtos'!$A$5:$A$204,0)),"Código não cadastrado"))</f>
        <v/>
      </c>
      <c r="E51" s="58" t="inlineStr">
        <is>
          <t>Saída</t>
        </is>
      </c>
      <c r="F51" s="61" t="n">
        <v>5</v>
      </c>
      <c r="G51" s="59" t="inlineStr">
        <is>
          <t>Elinaldo Oliveira</t>
        </is>
      </c>
      <c r="H51" s="59" t="inlineStr">
        <is>
          <t>Entrega de EPI a colaborador</t>
        </is>
      </c>
      <c r="I51" s="67">
        <f>IF(OR(A51="",C51=""),"",IFERROR(INDEX('Produtos'!$F$5:$F$204,MATCH(C51,'Produtos'!$A$5:$A$204,0))+SUMIFS($F$5:$F$1004,$C$5:$C$1004,C51,$E$5:$E$1004,"Entrada",$A$5:$A$1004,"&lt;="&amp;A51)-SUMIFS($F$5:$F$1004,$C$5:$C$1004,C51,$E$5:$E$1004,"Saída",$A$5:$A$1004,"&lt;="&amp;A51),""))</f>
        <v/>
      </c>
      <c r="J51" s="68">
        <f>IF(A51="","",A51+ROW()/100000)</f>
        <v/>
      </c>
    </row>
    <row r="52">
      <c r="A52" s="65" t="n">
        <v>45828</v>
      </c>
      <c r="B52" s="58" t="inlineStr">
        <is>
          <t>MOV-0048</t>
        </is>
      </c>
      <c r="C52" s="58" t="inlineStr">
        <is>
          <t>P020</t>
        </is>
      </c>
      <c r="D52" s="66">
        <f>IF(C52="","",IFERROR(INDEX('Produtos'!$B$5:$B$204,MATCH(C52,'Produtos'!$A$5:$A$204,0)),"Código não cadastrado"))</f>
        <v/>
      </c>
      <c r="E52" s="58" t="inlineStr">
        <is>
          <t>Entrada</t>
        </is>
      </c>
      <c r="F52" s="61" t="n">
        <v>51</v>
      </c>
      <c r="G52" s="59" t="inlineStr">
        <is>
          <t>Elinaldo Oliveira</t>
        </is>
      </c>
      <c r="H52" s="59" t="inlineStr">
        <is>
          <t>Recebimento de fornecedor</t>
        </is>
      </c>
      <c r="I52" s="67">
        <f>IF(OR(A52="",C52=""),"",IFERROR(INDEX('Produtos'!$F$5:$F$204,MATCH(C52,'Produtos'!$A$5:$A$204,0))+SUMIFS($F$5:$F$1004,$C$5:$C$1004,C52,$E$5:$E$1004,"Entrada",$A$5:$A$1004,"&lt;="&amp;A52)-SUMIFS($F$5:$F$1004,$C$5:$C$1004,C52,$E$5:$E$1004,"Saída",$A$5:$A$1004,"&lt;="&amp;A52),""))</f>
        <v/>
      </c>
      <c r="J52" s="68">
        <f>IF(A52="","",A52+ROW()/100000)</f>
        <v/>
      </c>
    </row>
    <row r="53">
      <c r="A53" s="65" t="n">
        <v>45828</v>
      </c>
      <c r="B53" s="58" t="inlineStr">
        <is>
          <t>MOV-0049</t>
        </is>
      </c>
      <c r="C53" s="58" t="inlineStr">
        <is>
          <t>P026</t>
        </is>
      </c>
      <c r="D53" s="66">
        <f>IF(C53="","",IFERROR(INDEX('Produtos'!$B$5:$B$204,MATCH(C53,'Produtos'!$A$5:$A$204,0)),"Código não cadastrado"))</f>
        <v/>
      </c>
      <c r="E53" s="58" t="inlineStr">
        <is>
          <t>Saída</t>
        </is>
      </c>
      <c r="F53" s="61" t="n">
        <v>2</v>
      </c>
      <c r="G53" s="59" t="inlineStr">
        <is>
          <t>Rodrigo Oliveira</t>
        </is>
      </c>
      <c r="H53" s="59" t="inlineStr">
        <is>
          <t>Saída para equipe de campo</t>
        </is>
      </c>
      <c r="I53" s="67">
        <f>IF(OR(A53="",C53=""),"",IFERROR(INDEX('Produtos'!$F$5:$F$204,MATCH(C53,'Produtos'!$A$5:$A$204,0))+SUMIFS($F$5:$F$1004,$C$5:$C$1004,C53,$E$5:$E$1004,"Entrada",$A$5:$A$1004,"&lt;="&amp;A53)-SUMIFS($F$5:$F$1004,$C$5:$C$1004,C53,$E$5:$E$1004,"Saída",$A$5:$A$1004,"&lt;="&amp;A53),""))</f>
        <v/>
      </c>
      <c r="J53" s="68">
        <f>IF(A53="","",A53+ROW()/100000)</f>
        <v/>
      </c>
    </row>
    <row r="54">
      <c r="A54" s="65" t="n">
        <v>45829</v>
      </c>
      <c r="B54" s="58" t="inlineStr">
        <is>
          <t>MOV-0050</t>
        </is>
      </c>
      <c r="C54" s="58" t="inlineStr">
        <is>
          <t>P016</t>
        </is>
      </c>
      <c r="D54" s="66">
        <f>IF(C54="","",IFERROR(INDEX('Produtos'!$B$5:$B$204,MATCH(C54,'Produtos'!$A$5:$A$204,0)),"Código não cadastrado"))</f>
        <v/>
      </c>
      <c r="E54" s="58" t="inlineStr">
        <is>
          <t>Entrada</t>
        </is>
      </c>
      <c r="F54" s="61" t="n">
        <v>80</v>
      </c>
      <c r="G54" s="59" t="inlineStr">
        <is>
          <t>Bruno Estevam</t>
        </is>
      </c>
      <c r="H54" s="59" t="inlineStr">
        <is>
          <t>Recebimento de fornecedor</t>
        </is>
      </c>
      <c r="I54" s="67">
        <f>IF(OR(A54="",C54=""),"",IFERROR(INDEX('Produtos'!$F$5:$F$204,MATCH(C54,'Produtos'!$A$5:$A$204,0))+SUMIFS($F$5:$F$1004,$C$5:$C$1004,C54,$E$5:$E$1004,"Entrada",$A$5:$A$1004,"&lt;="&amp;A54)-SUMIFS($F$5:$F$1004,$C$5:$C$1004,C54,$E$5:$E$1004,"Saída",$A$5:$A$1004,"&lt;="&amp;A54),""))</f>
        <v/>
      </c>
      <c r="J54" s="68">
        <f>IF(A54="","",A54+ROW()/100000)</f>
        <v/>
      </c>
    </row>
    <row r="55">
      <c r="A55" s="65" t="n">
        <v>45829</v>
      </c>
      <c r="B55" s="58" t="inlineStr">
        <is>
          <t>MOV-0051</t>
        </is>
      </c>
      <c r="C55" s="58" t="inlineStr">
        <is>
          <t>P013</t>
        </is>
      </c>
      <c r="D55" s="66">
        <f>IF(C55="","",IFERROR(INDEX('Produtos'!$B$5:$B$204,MATCH(C55,'Produtos'!$A$5:$A$204,0)),"Código não cadastrado"))</f>
        <v/>
      </c>
      <c r="E55" s="58" t="inlineStr">
        <is>
          <t>Saída</t>
        </is>
      </c>
      <c r="F55" s="61" t="n">
        <v>1</v>
      </c>
      <c r="G55" s="59" t="inlineStr">
        <is>
          <t>Rodrigo Oliveira</t>
        </is>
      </c>
      <c r="H55" s="59" t="inlineStr">
        <is>
          <t>Substituição de ferramenta</t>
        </is>
      </c>
      <c r="I55" s="67">
        <f>IF(OR(A55="",C55=""),"",IFERROR(INDEX('Produtos'!$F$5:$F$204,MATCH(C55,'Produtos'!$A$5:$A$204,0))+SUMIFS($F$5:$F$1004,$C$5:$C$1004,C55,$E$5:$E$1004,"Entrada",$A$5:$A$1004,"&lt;="&amp;A55)-SUMIFS($F$5:$F$1004,$C$5:$C$1004,C55,$E$5:$E$1004,"Saída",$A$5:$A$1004,"&lt;="&amp;A55),""))</f>
        <v/>
      </c>
      <c r="J55" s="68">
        <f>IF(A55="","",A55+ROW()/100000)</f>
        <v/>
      </c>
    </row>
    <row r="56">
      <c r="A56" s="65" t="n">
        <v>45831</v>
      </c>
      <c r="B56" s="58" t="inlineStr">
        <is>
          <t>MOV-0052</t>
        </is>
      </c>
      <c r="C56" s="58" t="inlineStr">
        <is>
          <t>P006</t>
        </is>
      </c>
      <c r="D56" s="66">
        <f>IF(C56="","",IFERROR(INDEX('Produtos'!$B$5:$B$204,MATCH(C56,'Produtos'!$A$5:$A$204,0)),"Código não cadastrado"))</f>
        <v/>
      </c>
      <c r="E56" s="58" t="inlineStr">
        <is>
          <t>Saída</t>
        </is>
      </c>
      <c r="F56" s="61" t="n">
        <v>35</v>
      </c>
      <c r="G56" s="59" t="inlineStr">
        <is>
          <t>Rodrigo Oliveira</t>
        </is>
      </c>
      <c r="H56" s="59" t="inlineStr">
        <is>
          <t>Saída para equipe de campo</t>
        </is>
      </c>
      <c r="I56" s="67">
        <f>IF(OR(A56="",C56=""),"",IFERROR(INDEX('Produtos'!$F$5:$F$204,MATCH(C56,'Produtos'!$A$5:$A$204,0))+SUMIFS($F$5:$F$1004,$C$5:$C$1004,C56,$E$5:$E$1004,"Entrada",$A$5:$A$1004,"&lt;="&amp;A56)-SUMIFS($F$5:$F$1004,$C$5:$C$1004,C56,$E$5:$E$1004,"Saída",$A$5:$A$1004,"&lt;="&amp;A56),""))</f>
        <v/>
      </c>
      <c r="J56" s="68">
        <f>IF(A56="","",A56+ROW()/100000)</f>
        <v/>
      </c>
    </row>
    <row r="57">
      <c r="A57" s="65" t="n">
        <v>45831</v>
      </c>
      <c r="B57" s="58" t="inlineStr">
        <is>
          <t>MOV-0053</t>
        </is>
      </c>
      <c r="C57" s="58" t="inlineStr">
        <is>
          <t>P007</t>
        </is>
      </c>
      <c r="D57" s="66">
        <f>IF(C57="","",IFERROR(INDEX('Produtos'!$B$5:$B$204,MATCH(C57,'Produtos'!$A$5:$A$204,0)),"Código não cadastrado"))</f>
        <v/>
      </c>
      <c r="E57" s="58" t="inlineStr">
        <is>
          <t>Saída</t>
        </is>
      </c>
      <c r="F57" s="61" t="n">
        <v>7</v>
      </c>
      <c r="G57" s="59" t="inlineStr">
        <is>
          <t>Wellington Farias</t>
        </is>
      </c>
      <c r="H57" s="59" t="inlineStr">
        <is>
          <t>Saída para equipe de campo</t>
        </is>
      </c>
      <c r="I57" s="67">
        <f>IF(OR(A57="",C57=""),"",IFERROR(INDEX('Produtos'!$F$5:$F$204,MATCH(C57,'Produtos'!$A$5:$A$204,0))+SUMIFS($F$5:$F$1004,$C$5:$C$1004,C57,$E$5:$E$1004,"Entrada",$A$5:$A$1004,"&lt;="&amp;A57)-SUMIFS($F$5:$F$1004,$C$5:$C$1004,C57,$E$5:$E$1004,"Saída",$A$5:$A$1004,"&lt;="&amp;A57),""))</f>
        <v/>
      </c>
      <c r="J57" s="68">
        <f>IF(A57="","",A57+ROW()/100000)</f>
        <v/>
      </c>
    </row>
    <row r="58">
      <c r="A58" s="65" t="n">
        <v>45832</v>
      </c>
      <c r="B58" s="58" t="inlineStr">
        <is>
          <t>MOV-0054</t>
        </is>
      </c>
      <c r="C58" s="58" t="inlineStr">
        <is>
          <t>P003</t>
        </is>
      </c>
      <c r="D58" s="66">
        <f>IF(C58="","",IFERROR(INDEX('Produtos'!$B$5:$B$204,MATCH(C58,'Produtos'!$A$5:$A$204,0)),"Código não cadastrado"))</f>
        <v/>
      </c>
      <c r="E58" s="58" t="inlineStr">
        <is>
          <t>Entrada</t>
        </is>
      </c>
      <c r="F58" s="61" t="n">
        <v>1</v>
      </c>
      <c r="G58" s="59" t="inlineStr">
        <is>
          <t>Bruno Estevam</t>
        </is>
      </c>
      <c r="H58" s="59" t="inlineStr">
        <is>
          <t>Ajuste de inventário</t>
        </is>
      </c>
      <c r="I58" s="67">
        <f>IF(OR(A58="",C58=""),"",IFERROR(INDEX('Produtos'!$F$5:$F$204,MATCH(C58,'Produtos'!$A$5:$A$204,0))+SUMIFS($F$5:$F$1004,$C$5:$C$1004,C58,$E$5:$E$1004,"Entrada",$A$5:$A$1004,"&lt;="&amp;A58)-SUMIFS($F$5:$F$1004,$C$5:$C$1004,C58,$E$5:$E$1004,"Saída",$A$5:$A$1004,"&lt;="&amp;A58),""))</f>
        <v/>
      </c>
      <c r="J58" s="68">
        <f>IF(A58="","",A58+ROW()/100000)</f>
        <v/>
      </c>
    </row>
    <row r="59">
      <c r="A59" s="65" t="n">
        <v>45832</v>
      </c>
      <c r="B59" s="58" t="inlineStr">
        <is>
          <t>MOV-0055</t>
        </is>
      </c>
      <c r="C59" s="58" t="inlineStr">
        <is>
          <t>P025</t>
        </is>
      </c>
      <c r="D59" s="66">
        <f>IF(C59="","",IFERROR(INDEX('Produtos'!$B$5:$B$204,MATCH(C59,'Produtos'!$A$5:$A$204,0)),"Código não cadastrado"))</f>
        <v/>
      </c>
      <c r="E59" s="58" t="inlineStr">
        <is>
          <t>Entrada</t>
        </is>
      </c>
      <c r="F59" s="61" t="n">
        <v>2</v>
      </c>
      <c r="G59" s="59" t="inlineStr">
        <is>
          <t>Bruno Estevam</t>
        </is>
      </c>
      <c r="H59" s="59" t="inlineStr">
        <is>
          <t>Devolução de técnico</t>
        </is>
      </c>
      <c r="I59" s="67">
        <f>IF(OR(A59="",C59=""),"",IFERROR(INDEX('Produtos'!$F$5:$F$204,MATCH(C59,'Produtos'!$A$5:$A$204,0))+SUMIFS($F$5:$F$1004,$C$5:$C$1004,C59,$E$5:$E$1004,"Entrada",$A$5:$A$1004,"&lt;="&amp;A59)-SUMIFS($F$5:$F$1004,$C$5:$C$1004,C59,$E$5:$E$1004,"Saída",$A$5:$A$1004,"&lt;="&amp;A59),""))</f>
        <v/>
      </c>
      <c r="J59" s="68">
        <f>IF(A59="","",A59+ROW()/100000)</f>
        <v/>
      </c>
    </row>
    <row r="60">
      <c r="A60" s="65" t="n">
        <v>45833</v>
      </c>
      <c r="B60" s="58" t="inlineStr">
        <is>
          <t>MOV-0056</t>
        </is>
      </c>
      <c r="C60" s="58" t="inlineStr">
        <is>
          <t>P007</t>
        </is>
      </c>
      <c r="D60" s="66">
        <f>IF(C60="","",IFERROR(INDEX('Produtos'!$B$5:$B$204,MATCH(C60,'Produtos'!$A$5:$A$204,0)),"Código não cadastrado"))</f>
        <v/>
      </c>
      <c r="E60" s="58" t="inlineStr">
        <is>
          <t>Entrada</t>
        </is>
      </c>
      <c r="F60" s="61" t="n">
        <v>40</v>
      </c>
      <c r="G60" s="59" t="inlineStr">
        <is>
          <t>Bruno Estevam</t>
        </is>
      </c>
      <c r="H60" s="59" t="inlineStr">
        <is>
          <t>Recebimento de fornecedor</t>
        </is>
      </c>
      <c r="I60" s="67">
        <f>IF(OR(A60="",C60=""),"",IFERROR(INDEX('Produtos'!$F$5:$F$204,MATCH(C60,'Produtos'!$A$5:$A$204,0))+SUMIFS($F$5:$F$1004,$C$5:$C$1004,C60,$E$5:$E$1004,"Entrada",$A$5:$A$1004,"&lt;="&amp;A60)-SUMIFS($F$5:$F$1004,$C$5:$C$1004,C60,$E$5:$E$1004,"Saída",$A$5:$A$1004,"&lt;="&amp;A60),""))</f>
        <v/>
      </c>
      <c r="J60" s="68">
        <f>IF(A60="","",A60+ROW()/100000)</f>
        <v/>
      </c>
    </row>
    <row r="61">
      <c r="A61" s="65" t="n">
        <v>45834</v>
      </c>
      <c r="B61" s="58" t="inlineStr">
        <is>
          <t>MOV-0057</t>
        </is>
      </c>
      <c r="C61" s="58" t="inlineStr">
        <is>
          <t>P015</t>
        </is>
      </c>
      <c r="D61" s="66">
        <f>IF(C61="","",IFERROR(INDEX('Produtos'!$B$5:$B$204,MATCH(C61,'Produtos'!$A$5:$A$204,0)),"Código não cadastrado"))</f>
        <v/>
      </c>
      <c r="E61" s="58" t="inlineStr">
        <is>
          <t>Entrada</t>
        </is>
      </c>
      <c r="F61" s="61" t="n">
        <v>176</v>
      </c>
      <c r="G61" s="59" t="inlineStr">
        <is>
          <t>Elinaldo Oliveira</t>
        </is>
      </c>
      <c r="H61" s="59" t="inlineStr">
        <is>
          <t>Recebimento de fornecedor</t>
        </is>
      </c>
      <c r="I61" s="67">
        <f>IF(OR(A61="",C61=""),"",IFERROR(INDEX('Produtos'!$F$5:$F$204,MATCH(C61,'Produtos'!$A$5:$A$204,0))+SUMIFS($F$5:$F$1004,$C$5:$C$1004,C61,$E$5:$E$1004,"Entrada",$A$5:$A$1004,"&lt;="&amp;A61)-SUMIFS($F$5:$F$1004,$C$5:$C$1004,C61,$E$5:$E$1004,"Saída",$A$5:$A$1004,"&lt;="&amp;A61),""))</f>
        <v/>
      </c>
      <c r="J61" s="68">
        <f>IF(A61="","",A61+ROW()/100000)</f>
        <v/>
      </c>
    </row>
    <row r="62">
      <c r="A62" s="65" t="n">
        <v>45834</v>
      </c>
      <c r="B62" s="58" t="inlineStr">
        <is>
          <t>MOV-0058</t>
        </is>
      </c>
      <c r="C62" s="58" t="inlineStr">
        <is>
          <t>P025</t>
        </is>
      </c>
      <c r="D62" s="66">
        <f>IF(C62="","",IFERROR(INDEX('Produtos'!$B$5:$B$204,MATCH(C62,'Produtos'!$A$5:$A$204,0)),"Código não cadastrado"))</f>
        <v/>
      </c>
      <c r="E62" s="58" t="inlineStr">
        <is>
          <t>Saída</t>
        </is>
      </c>
      <c r="F62" s="61" t="n">
        <v>36</v>
      </c>
      <c r="G62" s="59" t="inlineStr">
        <is>
          <t>Elinaldo Oliveira</t>
        </is>
      </c>
      <c r="H62" s="59" t="inlineStr">
        <is>
          <t>Saída para manutenção</t>
        </is>
      </c>
      <c r="I62" s="67">
        <f>IF(OR(A62="",C62=""),"",IFERROR(INDEX('Produtos'!$F$5:$F$204,MATCH(C62,'Produtos'!$A$5:$A$204,0))+SUMIFS($F$5:$F$1004,$C$5:$C$1004,C62,$E$5:$E$1004,"Entrada",$A$5:$A$1004,"&lt;="&amp;A62)-SUMIFS($F$5:$F$1004,$C$5:$C$1004,C62,$E$5:$E$1004,"Saída",$A$5:$A$1004,"&lt;="&amp;A62),""))</f>
        <v/>
      </c>
      <c r="J62" s="68">
        <f>IF(A62="","",A62+ROW()/100000)</f>
        <v/>
      </c>
    </row>
    <row r="63">
      <c r="A63" s="65" t="n">
        <v>45835</v>
      </c>
      <c r="B63" s="58" t="inlineStr">
        <is>
          <t>MOV-0059</t>
        </is>
      </c>
      <c r="C63" s="58" t="inlineStr">
        <is>
          <t>P004</t>
        </is>
      </c>
      <c r="D63" s="66">
        <f>IF(C63="","",IFERROR(INDEX('Produtos'!$B$5:$B$204,MATCH(C63,'Produtos'!$A$5:$A$204,0)),"Código não cadastrado"))</f>
        <v/>
      </c>
      <c r="E63" s="58" t="inlineStr">
        <is>
          <t>Saída</t>
        </is>
      </c>
      <c r="F63" s="61" t="n">
        <v>6</v>
      </c>
      <c r="G63" s="59" t="inlineStr">
        <is>
          <t>Wellington Farias</t>
        </is>
      </c>
      <c r="H63" s="59" t="inlineStr">
        <is>
          <t>Saída para equipe de campo</t>
        </is>
      </c>
      <c r="I63" s="67">
        <f>IF(OR(A63="",C63=""),"",IFERROR(INDEX('Produtos'!$F$5:$F$204,MATCH(C63,'Produtos'!$A$5:$A$204,0))+SUMIFS($F$5:$F$1004,$C$5:$C$1004,C63,$E$5:$E$1004,"Entrada",$A$5:$A$1004,"&lt;="&amp;A63)-SUMIFS($F$5:$F$1004,$C$5:$C$1004,C63,$E$5:$E$1004,"Saída",$A$5:$A$1004,"&lt;="&amp;A63),""))</f>
        <v/>
      </c>
      <c r="J63" s="68">
        <f>IF(A63="","",A63+ROW()/100000)</f>
        <v/>
      </c>
    </row>
    <row r="64">
      <c r="A64" s="65" t="n">
        <v>45836</v>
      </c>
      <c r="B64" s="58" t="inlineStr">
        <is>
          <t>MOV-0060</t>
        </is>
      </c>
      <c r="C64" s="58" t="inlineStr">
        <is>
          <t>P027</t>
        </is>
      </c>
      <c r="D64" s="66">
        <f>IF(C64="","",IFERROR(INDEX('Produtos'!$B$5:$B$204,MATCH(C64,'Produtos'!$A$5:$A$204,0)),"Código não cadastrado"))</f>
        <v/>
      </c>
      <c r="E64" s="58" t="inlineStr">
        <is>
          <t>Saída</t>
        </is>
      </c>
      <c r="F64" s="61" t="n">
        <v>4</v>
      </c>
      <c r="G64" s="59" t="inlineStr">
        <is>
          <t>Elinaldo Oliveira</t>
        </is>
      </c>
      <c r="H64" s="59" t="inlineStr">
        <is>
          <t>Saída para equipe de campo</t>
        </is>
      </c>
      <c r="I64" s="67">
        <f>IF(OR(A64="",C64=""),"",IFERROR(INDEX('Produtos'!$F$5:$F$204,MATCH(C64,'Produtos'!$A$5:$A$204,0))+SUMIFS($F$5:$F$1004,$C$5:$C$1004,C64,$E$5:$E$1004,"Entrada",$A$5:$A$1004,"&lt;="&amp;A64)-SUMIFS($F$5:$F$1004,$C$5:$C$1004,C64,$E$5:$E$1004,"Saída",$A$5:$A$1004,"&lt;="&amp;A64),""))</f>
        <v/>
      </c>
      <c r="J64" s="68">
        <f>IF(A64="","",A64+ROW()/100000)</f>
        <v/>
      </c>
    </row>
    <row r="65">
      <c r="A65" s="65" t="n">
        <v>45838</v>
      </c>
      <c r="B65" s="58" t="inlineStr">
        <is>
          <t>MOV-0061</t>
        </is>
      </c>
      <c r="C65" s="58" t="inlineStr">
        <is>
          <t>P025</t>
        </is>
      </c>
      <c r="D65" s="66">
        <f>IF(C65="","",IFERROR(INDEX('Produtos'!$B$5:$B$204,MATCH(C65,'Produtos'!$A$5:$A$204,0)),"Código não cadastrado"))</f>
        <v/>
      </c>
      <c r="E65" s="58" t="inlineStr">
        <is>
          <t>Entrada</t>
        </is>
      </c>
      <c r="F65" s="61" t="n">
        <v>120</v>
      </c>
      <c r="G65" s="59" t="inlineStr">
        <is>
          <t>Eliane Cunha</t>
        </is>
      </c>
      <c r="H65" s="59" t="inlineStr">
        <is>
          <t>Recebimento de fornecedor</t>
        </is>
      </c>
      <c r="I65" s="67">
        <f>IF(OR(A65="",C65=""),"",IFERROR(INDEX('Produtos'!$F$5:$F$204,MATCH(C65,'Produtos'!$A$5:$A$204,0))+SUMIFS($F$5:$F$1004,$C$5:$C$1004,C65,$E$5:$E$1004,"Entrada",$A$5:$A$1004,"&lt;="&amp;A65)-SUMIFS($F$5:$F$1004,$C$5:$C$1004,C65,$E$5:$E$1004,"Saída",$A$5:$A$1004,"&lt;="&amp;A65),""))</f>
        <v/>
      </c>
      <c r="J65" s="68">
        <f>IF(A65="","",A65+ROW()/100000)</f>
        <v/>
      </c>
    </row>
    <row r="66">
      <c r="A66" s="65" t="n">
        <v>45839</v>
      </c>
      <c r="B66" s="58" t="inlineStr">
        <is>
          <t>MOV-0062</t>
        </is>
      </c>
      <c r="C66" s="58" t="inlineStr">
        <is>
          <t>P022</t>
        </is>
      </c>
      <c r="D66" s="66">
        <f>IF(C66="","",IFERROR(INDEX('Produtos'!$B$5:$B$204,MATCH(C66,'Produtos'!$A$5:$A$204,0)),"Código não cadastrado"))</f>
        <v/>
      </c>
      <c r="E66" s="58" t="inlineStr">
        <is>
          <t>Saída</t>
        </is>
      </c>
      <c r="F66" s="61" t="n">
        <v>1</v>
      </c>
      <c r="G66" s="59" t="inlineStr">
        <is>
          <t>Elinaldo Oliveira</t>
        </is>
      </c>
      <c r="H66" s="59" t="inlineStr">
        <is>
          <t>Entrega de EPI a colaborador</t>
        </is>
      </c>
      <c r="I66" s="67">
        <f>IF(OR(A66="",C66=""),"",IFERROR(INDEX('Produtos'!$F$5:$F$204,MATCH(C66,'Produtos'!$A$5:$A$204,0))+SUMIFS($F$5:$F$1004,$C$5:$C$1004,C66,$E$5:$E$1004,"Entrada",$A$5:$A$1004,"&lt;="&amp;A66)-SUMIFS($F$5:$F$1004,$C$5:$C$1004,C66,$E$5:$E$1004,"Saída",$A$5:$A$1004,"&lt;="&amp;A66),""))</f>
        <v/>
      </c>
      <c r="J66" s="68">
        <f>IF(A66="","",A66+ROW()/100000)</f>
        <v/>
      </c>
    </row>
    <row r="67">
      <c r="A67" s="65" t="n">
        <v>45840</v>
      </c>
      <c r="B67" s="58" t="inlineStr">
        <is>
          <t>MOV-0063</t>
        </is>
      </c>
      <c r="C67" s="58" t="inlineStr">
        <is>
          <t>P014</t>
        </is>
      </c>
      <c r="D67" s="66">
        <f>IF(C67="","",IFERROR(INDEX('Produtos'!$B$5:$B$204,MATCH(C67,'Produtos'!$A$5:$A$204,0)),"Código não cadastrado"))</f>
        <v/>
      </c>
      <c r="E67" s="58" t="inlineStr">
        <is>
          <t>Saída</t>
        </is>
      </c>
      <c r="F67" s="61" t="n">
        <v>17</v>
      </c>
      <c r="G67" s="59" t="inlineStr">
        <is>
          <t>Rosilene Barbosa</t>
        </is>
      </c>
      <c r="H67" s="59" t="inlineStr">
        <is>
          <t>Expedição de pedido</t>
        </is>
      </c>
      <c r="I67" s="67">
        <f>IF(OR(A67="",C67=""),"",IFERROR(INDEX('Produtos'!$F$5:$F$204,MATCH(C67,'Produtos'!$A$5:$A$204,0))+SUMIFS($F$5:$F$1004,$C$5:$C$1004,C67,$E$5:$E$1004,"Entrada",$A$5:$A$1004,"&lt;="&amp;A67)-SUMIFS($F$5:$F$1004,$C$5:$C$1004,C67,$E$5:$E$1004,"Saída",$A$5:$A$1004,"&lt;="&amp;A67),""))</f>
        <v/>
      </c>
      <c r="J67" s="68">
        <f>IF(A67="","",A67+ROW()/100000)</f>
        <v/>
      </c>
    </row>
    <row r="68">
      <c r="A68" s="65" t="n">
        <v>45840</v>
      </c>
      <c r="B68" s="58" t="inlineStr">
        <is>
          <t>MOV-0064</t>
        </is>
      </c>
      <c r="C68" s="58" t="inlineStr">
        <is>
          <t>P028</t>
        </is>
      </c>
      <c r="D68" s="66">
        <f>IF(C68="","",IFERROR(INDEX('Produtos'!$B$5:$B$204,MATCH(C68,'Produtos'!$A$5:$A$204,0)),"Código não cadastrado"))</f>
        <v/>
      </c>
      <c r="E68" s="58" t="inlineStr">
        <is>
          <t>Saída</t>
        </is>
      </c>
      <c r="F68" s="61" t="n">
        <v>12</v>
      </c>
      <c r="G68" s="59" t="inlineStr">
        <is>
          <t>Eliane Cunha</t>
        </is>
      </c>
      <c r="H68" s="59" t="inlineStr">
        <is>
          <t>Consumo interno</t>
        </is>
      </c>
      <c r="I68" s="67">
        <f>IF(OR(A68="",C68=""),"",IFERROR(INDEX('Produtos'!$F$5:$F$204,MATCH(C68,'Produtos'!$A$5:$A$204,0))+SUMIFS($F$5:$F$1004,$C$5:$C$1004,C68,$E$5:$E$1004,"Entrada",$A$5:$A$1004,"&lt;="&amp;A68)-SUMIFS($F$5:$F$1004,$C$5:$C$1004,C68,$E$5:$E$1004,"Saída",$A$5:$A$1004,"&lt;="&amp;A68),""))</f>
        <v/>
      </c>
      <c r="J68" s="68">
        <f>IF(A68="","",A68+ROW()/100000)</f>
        <v/>
      </c>
    </row>
    <row r="69">
      <c r="A69" s="65" t="n">
        <v>45841</v>
      </c>
      <c r="B69" s="58" t="inlineStr">
        <is>
          <t>MOV-0065</t>
        </is>
      </c>
      <c r="C69" s="58" t="inlineStr">
        <is>
          <t>P004</t>
        </is>
      </c>
      <c r="D69" s="66">
        <f>IF(C69="","",IFERROR(INDEX('Produtos'!$B$5:$B$204,MATCH(C69,'Produtos'!$A$5:$A$204,0)),"Código não cadastrado"))</f>
        <v/>
      </c>
      <c r="E69" s="58" t="inlineStr">
        <is>
          <t>Entrada</t>
        </is>
      </c>
      <c r="F69" s="61" t="n">
        <v>24</v>
      </c>
      <c r="G69" s="59" t="inlineStr">
        <is>
          <t>Bruno Estevam</t>
        </is>
      </c>
      <c r="H69" s="59" t="inlineStr">
        <is>
          <t>Recebimento de fornecedor</t>
        </is>
      </c>
      <c r="I69" s="67">
        <f>IF(OR(A69="",C69=""),"",IFERROR(INDEX('Produtos'!$F$5:$F$204,MATCH(C69,'Produtos'!$A$5:$A$204,0))+SUMIFS($F$5:$F$1004,$C$5:$C$1004,C69,$E$5:$E$1004,"Entrada",$A$5:$A$1004,"&lt;="&amp;A69)-SUMIFS($F$5:$F$1004,$C$5:$C$1004,C69,$E$5:$E$1004,"Saída",$A$5:$A$1004,"&lt;="&amp;A69),""))</f>
        <v/>
      </c>
      <c r="J69" s="68">
        <f>IF(A69="","",A69+ROW()/100000)</f>
        <v/>
      </c>
    </row>
    <row r="70">
      <c r="A70" s="65" t="n">
        <v>45841</v>
      </c>
      <c r="B70" s="58" t="inlineStr">
        <is>
          <t>MOV-0066</t>
        </is>
      </c>
      <c r="C70" s="58" t="inlineStr">
        <is>
          <t>P001</t>
        </is>
      </c>
      <c r="D70" s="66">
        <f>IF(C70="","",IFERROR(INDEX('Produtos'!$B$5:$B$204,MATCH(C70,'Produtos'!$A$5:$A$204,0)),"Código não cadastrado"))</f>
        <v/>
      </c>
      <c r="E70" s="58" t="inlineStr">
        <is>
          <t>Saída</t>
        </is>
      </c>
      <c r="F70" s="61" t="n">
        <v>9</v>
      </c>
      <c r="G70" s="59" t="inlineStr">
        <is>
          <t>Rodrigo Oliveira</t>
        </is>
      </c>
      <c r="H70" s="59" t="inlineStr">
        <is>
          <t>Saída para equipe de campo</t>
        </is>
      </c>
      <c r="I70" s="67">
        <f>IF(OR(A70="",C70=""),"",IFERROR(INDEX('Produtos'!$F$5:$F$204,MATCH(C70,'Produtos'!$A$5:$A$204,0))+SUMIFS($F$5:$F$1004,$C$5:$C$1004,C70,$E$5:$E$1004,"Entrada",$A$5:$A$1004,"&lt;="&amp;A70)-SUMIFS($F$5:$F$1004,$C$5:$C$1004,C70,$E$5:$E$1004,"Saída",$A$5:$A$1004,"&lt;="&amp;A70),""))</f>
        <v/>
      </c>
      <c r="J70" s="68">
        <f>IF(A70="","",A70+ROW()/100000)</f>
        <v/>
      </c>
    </row>
    <row r="71">
      <c r="A71" s="65" t="n">
        <v>45841</v>
      </c>
      <c r="B71" s="58" t="inlineStr">
        <is>
          <t>MOV-0067</t>
        </is>
      </c>
      <c r="C71" s="58" t="inlineStr">
        <is>
          <t>P003</t>
        </is>
      </c>
      <c r="D71" s="66">
        <f>IF(C71="","",IFERROR(INDEX('Produtos'!$B$5:$B$204,MATCH(C71,'Produtos'!$A$5:$A$204,0)),"Código não cadastrado"))</f>
        <v/>
      </c>
      <c r="E71" s="58" t="inlineStr">
        <is>
          <t>Saída</t>
        </is>
      </c>
      <c r="F71" s="61" t="n">
        <v>17</v>
      </c>
      <c r="G71" s="59" t="inlineStr">
        <is>
          <t>Rodrigo Oliveira</t>
        </is>
      </c>
      <c r="H71" s="59" t="inlineStr">
        <is>
          <t>Instalação em cliente</t>
        </is>
      </c>
      <c r="I71" s="67">
        <f>IF(OR(A71="",C71=""),"",IFERROR(INDEX('Produtos'!$F$5:$F$204,MATCH(C71,'Produtos'!$A$5:$A$204,0))+SUMIFS($F$5:$F$1004,$C$5:$C$1004,C71,$E$5:$E$1004,"Entrada",$A$5:$A$1004,"&lt;="&amp;A71)-SUMIFS($F$5:$F$1004,$C$5:$C$1004,C71,$E$5:$E$1004,"Saída",$A$5:$A$1004,"&lt;="&amp;A71),""))</f>
        <v/>
      </c>
      <c r="J71" s="68">
        <f>IF(A71="","",A71+ROW()/100000)</f>
        <v/>
      </c>
    </row>
    <row r="72">
      <c r="A72" s="65" t="n">
        <v>45841</v>
      </c>
      <c r="B72" s="58" t="inlineStr">
        <is>
          <t>MOV-0068</t>
        </is>
      </c>
      <c r="C72" s="58" t="inlineStr">
        <is>
          <t>P026</t>
        </is>
      </c>
      <c r="D72" s="66">
        <f>IF(C72="","",IFERROR(INDEX('Produtos'!$B$5:$B$204,MATCH(C72,'Produtos'!$A$5:$A$204,0)),"Código não cadastrado"))</f>
        <v/>
      </c>
      <c r="E72" s="58" t="inlineStr">
        <is>
          <t>Saída</t>
        </is>
      </c>
      <c r="F72" s="61" t="n">
        <v>3</v>
      </c>
      <c r="G72" s="59" t="inlineStr">
        <is>
          <t>Elinaldo Oliveira</t>
        </is>
      </c>
      <c r="H72" s="59" t="inlineStr">
        <is>
          <t>Saída para equipe de campo</t>
        </is>
      </c>
      <c r="I72" s="67">
        <f>IF(OR(A72="",C72=""),"",IFERROR(INDEX('Produtos'!$F$5:$F$204,MATCH(C72,'Produtos'!$A$5:$A$204,0))+SUMIFS($F$5:$F$1004,$C$5:$C$1004,C72,$E$5:$E$1004,"Entrada",$A$5:$A$1004,"&lt;="&amp;A72)-SUMIFS($F$5:$F$1004,$C$5:$C$1004,C72,$E$5:$E$1004,"Saída",$A$5:$A$1004,"&lt;="&amp;A72),""))</f>
        <v/>
      </c>
      <c r="J72" s="68">
        <f>IF(A72="","",A72+ROW()/100000)</f>
        <v/>
      </c>
    </row>
    <row r="73">
      <c r="A73" s="65" t="n">
        <v>45843</v>
      </c>
      <c r="B73" s="58" t="inlineStr">
        <is>
          <t>MOV-0069</t>
        </is>
      </c>
      <c r="C73" s="58" t="inlineStr">
        <is>
          <t>P002</t>
        </is>
      </c>
      <c r="D73" s="66">
        <f>IF(C73="","",IFERROR(INDEX('Produtos'!$B$5:$B$204,MATCH(C73,'Produtos'!$A$5:$A$204,0)),"Código não cadastrado"))</f>
        <v/>
      </c>
      <c r="E73" s="58" t="inlineStr">
        <is>
          <t>Saída</t>
        </is>
      </c>
      <c r="F73" s="61" t="n">
        <v>207</v>
      </c>
      <c r="G73" s="59" t="inlineStr">
        <is>
          <t>Rodrigo Oliveira</t>
        </is>
      </c>
      <c r="H73" s="59" t="inlineStr">
        <is>
          <t>Instalação em cliente</t>
        </is>
      </c>
      <c r="I73" s="67">
        <f>IF(OR(A73="",C73=""),"",IFERROR(INDEX('Produtos'!$F$5:$F$204,MATCH(C73,'Produtos'!$A$5:$A$204,0))+SUMIFS($F$5:$F$1004,$C$5:$C$1004,C73,$E$5:$E$1004,"Entrada",$A$5:$A$1004,"&lt;="&amp;A73)-SUMIFS($F$5:$F$1004,$C$5:$C$1004,C73,$E$5:$E$1004,"Saída",$A$5:$A$1004,"&lt;="&amp;A73),""))</f>
        <v/>
      </c>
      <c r="J73" s="68">
        <f>IF(A73="","",A73+ROW()/100000)</f>
        <v/>
      </c>
    </row>
    <row r="74">
      <c r="A74" s="65" t="n">
        <v>45843</v>
      </c>
      <c r="B74" s="58" t="inlineStr">
        <is>
          <t>MOV-0070</t>
        </is>
      </c>
      <c r="C74" s="58" t="inlineStr">
        <is>
          <t>P030</t>
        </is>
      </c>
      <c r="D74" s="66">
        <f>IF(C74="","",IFERROR(INDEX('Produtos'!$B$5:$B$204,MATCH(C74,'Produtos'!$A$5:$A$204,0)),"Código não cadastrado"))</f>
        <v/>
      </c>
      <c r="E74" s="58" t="inlineStr">
        <is>
          <t>Saída</t>
        </is>
      </c>
      <c r="F74" s="61" t="n">
        <v>9</v>
      </c>
      <c r="G74" s="59" t="inlineStr">
        <is>
          <t>Eliane Cunha</t>
        </is>
      </c>
      <c r="H74" s="59" t="inlineStr">
        <is>
          <t>Consumo interno</t>
        </is>
      </c>
      <c r="I74" s="67">
        <f>IF(OR(A74="",C74=""),"",IFERROR(INDEX('Produtos'!$F$5:$F$204,MATCH(C74,'Produtos'!$A$5:$A$204,0))+SUMIFS($F$5:$F$1004,$C$5:$C$1004,C74,$E$5:$E$1004,"Entrada",$A$5:$A$1004,"&lt;="&amp;A74)-SUMIFS($F$5:$F$1004,$C$5:$C$1004,C74,$E$5:$E$1004,"Saída",$A$5:$A$1004,"&lt;="&amp;A74),""))</f>
        <v/>
      </c>
      <c r="J74" s="68">
        <f>IF(A74="","",A74+ROW()/100000)</f>
        <v/>
      </c>
    </row>
    <row r="75">
      <c r="A75" s="65" t="n">
        <v>45845</v>
      </c>
      <c r="B75" s="58" t="inlineStr">
        <is>
          <t>MOV-0071</t>
        </is>
      </c>
      <c r="C75" s="58" t="inlineStr">
        <is>
          <t>P001</t>
        </is>
      </c>
      <c r="D75" s="66">
        <f>IF(C75="","",IFERROR(INDEX('Produtos'!$B$5:$B$204,MATCH(C75,'Produtos'!$A$5:$A$204,0)),"Código não cadastrado"))</f>
        <v/>
      </c>
      <c r="E75" s="58" t="inlineStr">
        <is>
          <t>Entrada</t>
        </is>
      </c>
      <c r="F75" s="61" t="n">
        <v>16</v>
      </c>
      <c r="G75" s="59" t="inlineStr">
        <is>
          <t>Eliane Cunha</t>
        </is>
      </c>
      <c r="H75" s="59" t="inlineStr">
        <is>
          <t>Recebimento de fornecedor</t>
        </is>
      </c>
      <c r="I75" s="67">
        <f>IF(OR(A75="",C75=""),"",IFERROR(INDEX('Produtos'!$F$5:$F$204,MATCH(C75,'Produtos'!$A$5:$A$204,0))+SUMIFS($F$5:$F$1004,$C$5:$C$1004,C75,$E$5:$E$1004,"Entrada",$A$5:$A$1004,"&lt;="&amp;A75)-SUMIFS($F$5:$F$1004,$C$5:$C$1004,C75,$E$5:$E$1004,"Saída",$A$5:$A$1004,"&lt;="&amp;A75),""))</f>
        <v/>
      </c>
      <c r="J75" s="68">
        <f>IF(A75="","",A75+ROW()/100000)</f>
        <v/>
      </c>
    </row>
    <row r="76">
      <c r="A76" s="65" t="n">
        <v>45847</v>
      </c>
      <c r="B76" s="58" t="inlineStr">
        <is>
          <t>MOV-0072</t>
        </is>
      </c>
      <c r="C76" s="58" t="inlineStr">
        <is>
          <t>P002</t>
        </is>
      </c>
      <c r="D76" s="66">
        <f>IF(C76="","",IFERROR(INDEX('Produtos'!$B$5:$B$204,MATCH(C76,'Produtos'!$A$5:$A$204,0)),"Código não cadastrado"))</f>
        <v/>
      </c>
      <c r="E76" s="58" t="inlineStr">
        <is>
          <t>Entrada</t>
        </is>
      </c>
      <c r="F76" s="61" t="n">
        <v>600</v>
      </c>
      <c r="G76" s="59" t="inlineStr">
        <is>
          <t>Elinaldo Oliveira</t>
        </is>
      </c>
      <c r="H76" s="59" t="inlineStr">
        <is>
          <t>Recebimento de fornecedor</t>
        </is>
      </c>
      <c r="I76" s="67">
        <f>IF(OR(A76="",C76=""),"",IFERROR(INDEX('Produtos'!$F$5:$F$204,MATCH(C76,'Produtos'!$A$5:$A$204,0))+SUMIFS($F$5:$F$1004,$C$5:$C$1004,C76,$E$5:$E$1004,"Entrada",$A$5:$A$1004,"&lt;="&amp;A76)-SUMIFS($F$5:$F$1004,$C$5:$C$1004,C76,$E$5:$E$1004,"Saída",$A$5:$A$1004,"&lt;="&amp;A76),""))</f>
        <v/>
      </c>
      <c r="J76" s="68">
        <f>IF(A76="","",A76+ROW()/100000)</f>
        <v/>
      </c>
    </row>
    <row r="77">
      <c r="A77" s="65" t="n">
        <v>45848</v>
      </c>
      <c r="B77" s="58" t="inlineStr">
        <is>
          <t>MOV-0073</t>
        </is>
      </c>
      <c r="C77" s="58" t="inlineStr">
        <is>
          <t>P026</t>
        </is>
      </c>
      <c r="D77" s="66">
        <f>IF(C77="","",IFERROR(INDEX('Produtos'!$B$5:$B$204,MATCH(C77,'Produtos'!$A$5:$A$204,0)),"Código não cadastrado"))</f>
        <v/>
      </c>
      <c r="E77" s="58" t="inlineStr">
        <is>
          <t>Entrada</t>
        </is>
      </c>
      <c r="F77" s="61" t="n">
        <v>9</v>
      </c>
      <c r="G77" s="59" t="inlineStr">
        <is>
          <t>Bruno Estevam</t>
        </is>
      </c>
      <c r="H77" s="59" t="inlineStr">
        <is>
          <t>Recebimento de fornecedor</t>
        </is>
      </c>
      <c r="I77" s="67">
        <f>IF(OR(A77="",C77=""),"",IFERROR(INDEX('Produtos'!$F$5:$F$204,MATCH(C77,'Produtos'!$A$5:$A$204,0))+SUMIFS($F$5:$F$1004,$C$5:$C$1004,C77,$E$5:$E$1004,"Entrada",$A$5:$A$1004,"&lt;="&amp;A77)-SUMIFS($F$5:$F$1004,$C$5:$C$1004,C77,$E$5:$E$1004,"Saída",$A$5:$A$1004,"&lt;="&amp;A77),""))</f>
        <v/>
      </c>
      <c r="J77" s="68">
        <f>IF(A77="","",A77+ROW()/100000)</f>
        <v/>
      </c>
    </row>
    <row r="78">
      <c r="A78" s="65" t="n">
        <v>45848</v>
      </c>
      <c r="B78" s="58" t="inlineStr">
        <is>
          <t>MOV-0074</t>
        </is>
      </c>
      <c r="C78" s="58" t="inlineStr">
        <is>
          <t>P012</t>
        </is>
      </c>
      <c r="D78" s="66">
        <f>IF(C78="","",IFERROR(INDEX('Produtos'!$B$5:$B$204,MATCH(C78,'Produtos'!$A$5:$A$204,0)),"Código não cadastrado"))</f>
        <v/>
      </c>
      <c r="E78" s="58" t="inlineStr">
        <is>
          <t>Saída</t>
        </is>
      </c>
      <c r="F78" s="61" t="n">
        <v>4</v>
      </c>
      <c r="G78" s="59" t="inlineStr">
        <is>
          <t>Rodrigo Oliveira</t>
        </is>
      </c>
      <c r="H78" s="59" t="inlineStr">
        <is>
          <t>Saída para equipe de campo</t>
        </is>
      </c>
      <c r="I78" s="67">
        <f>IF(OR(A78="",C78=""),"",IFERROR(INDEX('Produtos'!$F$5:$F$204,MATCH(C78,'Produtos'!$A$5:$A$204,0))+SUMIFS($F$5:$F$1004,$C$5:$C$1004,C78,$E$5:$E$1004,"Entrada",$A$5:$A$1004,"&lt;="&amp;A78)-SUMIFS($F$5:$F$1004,$C$5:$C$1004,C78,$E$5:$E$1004,"Saída",$A$5:$A$1004,"&lt;="&amp;A78),""))</f>
        <v/>
      </c>
      <c r="J78" s="68">
        <f>IF(A78="","",A78+ROW()/100000)</f>
        <v/>
      </c>
    </row>
    <row r="79">
      <c r="A79" s="65" t="n">
        <v>45850</v>
      </c>
      <c r="B79" s="58" t="inlineStr">
        <is>
          <t>MOV-0075</t>
        </is>
      </c>
      <c r="C79" s="58" t="inlineStr">
        <is>
          <t>P006</t>
        </is>
      </c>
      <c r="D79" s="66">
        <f>IF(C79="","",IFERROR(INDEX('Produtos'!$B$5:$B$204,MATCH(C79,'Produtos'!$A$5:$A$204,0)),"Código não cadastrado"))</f>
        <v/>
      </c>
      <c r="E79" s="58" t="inlineStr">
        <is>
          <t>Saída</t>
        </is>
      </c>
      <c r="F79" s="61" t="n">
        <v>26</v>
      </c>
      <c r="G79" s="59" t="inlineStr">
        <is>
          <t>Wellington Farias</t>
        </is>
      </c>
      <c r="H79" s="59" t="inlineStr">
        <is>
          <t>Saída para equipe de campo</t>
        </is>
      </c>
      <c r="I79" s="67">
        <f>IF(OR(A79="",C79=""),"",IFERROR(INDEX('Produtos'!$F$5:$F$204,MATCH(C79,'Produtos'!$A$5:$A$204,0))+SUMIFS($F$5:$F$1004,$C$5:$C$1004,C79,$E$5:$E$1004,"Entrada",$A$5:$A$1004,"&lt;="&amp;A79)-SUMIFS($F$5:$F$1004,$C$5:$C$1004,C79,$E$5:$E$1004,"Saída",$A$5:$A$1004,"&lt;="&amp;A79),""))</f>
        <v/>
      </c>
      <c r="J79" s="68">
        <f>IF(A79="","",A79+ROW()/100000)</f>
        <v/>
      </c>
    </row>
    <row r="80">
      <c r="A80" s="65" t="n">
        <v>45852</v>
      </c>
      <c r="B80" s="58" t="inlineStr">
        <is>
          <t>MOV-0076</t>
        </is>
      </c>
      <c r="C80" s="58" t="inlineStr">
        <is>
          <t>P002</t>
        </is>
      </c>
      <c r="D80" s="66">
        <f>IF(C80="","",IFERROR(INDEX('Produtos'!$B$5:$B$204,MATCH(C80,'Produtos'!$A$5:$A$204,0)),"Código não cadastrado"))</f>
        <v/>
      </c>
      <c r="E80" s="58" t="inlineStr">
        <is>
          <t>Entrada</t>
        </is>
      </c>
      <c r="F80" s="61" t="n">
        <v>15</v>
      </c>
      <c r="G80" s="59" t="inlineStr">
        <is>
          <t>Bruno Estevam</t>
        </is>
      </c>
      <c r="H80" s="59" t="inlineStr">
        <is>
          <t>Devolução de técnico</t>
        </is>
      </c>
      <c r="I80" s="67">
        <f>IF(OR(A80="",C80=""),"",IFERROR(INDEX('Produtos'!$F$5:$F$204,MATCH(C80,'Produtos'!$A$5:$A$204,0))+SUMIFS($F$5:$F$1004,$C$5:$C$1004,C80,$E$5:$E$1004,"Entrada",$A$5:$A$1004,"&lt;="&amp;A80)-SUMIFS($F$5:$F$1004,$C$5:$C$1004,C80,$E$5:$E$1004,"Saída",$A$5:$A$1004,"&lt;="&amp;A80),""))</f>
        <v/>
      </c>
      <c r="J80" s="68">
        <f>IF(A80="","",A80+ROW()/100000)</f>
        <v/>
      </c>
    </row>
    <row r="81">
      <c r="A81" s="65" t="n">
        <v>45853</v>
      </c>
      <c r="B81" s="58" t="inlineStr">
        <is>
          <t>MOV-0077</t>
        </is>
      </c>
      <c r="C81" s="58" t="inlineStr">
        <is>
          <t>P004</t>
        </is>
      </c>
      <c r="D81" s="66">
        <f>IF(C81="","",IFERROR(INDEX('Produtos'!$B$5:$B$204,MATCH(C81,'Produtos'!$A$5:$A$204,0)),"Código não cadastrado"))</f>
        <v/>
      </c>
      <c r="E81" s="58" t="inlineStr">
        <is>
          <t>Saída</t>
        </is>
      </c>
      <c r="F81" s="61" t="n">
        <v>8</v>
      </c>
      <c r="G81" s="59" t="inlineStr">
        <is>
          <t>Rodrigo Oliveira</t>
        </is>
      </c>
      <c r="H81" s="59" t="inlineStr">
        <is>
          <t>Saída para equipe de campo</t>
        </is>
      </c>
      <c r="I81" s="67">
        <f>IF(OR(A81="",C81=""),"",IFERROR(INDEX('Produtos'!$F$5:$F$204,MATCH(C81,'Produtos'!$A$5:$A$204,0))+SUMIFS($F$5:$F$1004,$C$5:$C$1004,C81,$E$5:$E$1004,"Entrada",$A$5:$A$1004,"&lt;="&amp;A81)-SUMIFS($F$5:$F$1004,$C$5:$C$1004,C81,$E$5:$E$1004,"Saída",$A$5:$A$1004,"&lt;="&amp;A81),""))</f>
        <v/>
      </c>
      <c r="J81" s="68">
        <f>IF(A81="","",A81+ROW()/100000)</f>
        <v/>
      </c>
    </row>
    <row r="82">
      <c r="A82" s="65" t="n">
        <v>45853</v>
      </c>
      <c r="B82" s="58" t="inlineStr">
        <is>
          <t>MOV-0078</t>
        </is>
      </c>
      <c r="C82" s="58" t="inlineStr">
        <is>
          <t>P027</t>
        </is>
      </c>
      <c r="D82" s="66">
        <f>IF(C82="","",IFERROR(INDEX('Produtos'!$B$5:$B$204,MATCH(C82,'Produtos'!$A$5:$A$204,0)),"Código não cadastrado"))</f>
        <v/>
      </c>
      <c r="E82" s="58" t="inlineStr">
        <is>
          <t>Saída</t>
        </is>
      </c>
      <c r="F82" s="61" t="n">
        <v>5</v>
      </c>
      <c r="G82" s="59" t="inlineStr">
        <is>
          <t>Rodrigo Oliveira</t>
        </is>
      </c>
      <c r="H82" s="59" t="inlineStr">
        <is>
          <t>Saída para equipe de campo</t>
        </is>
      </c>
      <c r="I82" s="67">
        <f>IF(OR(A82="",C82=""),"",IFERROR(INDEX('Produtos'!$F$5:$F$204,MATCH(C82,'Produtos'!$A$5:$A$204,0))+SUMIFS($F$5:$F$1004,$C$5:$C$1004,C82,$E$5:$E$1004,"Entrada",$A$5:$A$1004,"&lt;="&amp;A82)-SUMIFS($F$5:$F$1004,$C$5:$C$1004,C82,$E$5:$E$1004,"Saída",$A$5:$A$1004,"&lt;="&amp;A82),""))</f>
        <v/>
      </c>
      <c r="J82" s="68">
        <f>IF(A82="","",A82+ROW()/100000)</f>
        <v/>
      </c>
    </row>
    <row r="83">
      <c r="A83" s="65" t="n">
        <v>45854</v>
      </c>
      <c r="B83" s="58" t="inlineStr">
        <is>
          <t>MOV-0079</t>
        </is>
      </c>
      <c r="C83" s="58" t="inlineStr">
        <is>
          <t>P011</t>
        </is>
      </c>
      <c r="D83" s="66">
        <f>IF(C83="","",IFERROR(INDEX('Produtos'!$B$5:$B$204,MATCH(C83,'Produtos'!$A$5:$A$204,0)),"Código não cadastrado"))</f>
        <v/>
      </c>
      <c r="E83" s="58" t="inlineStr">
        <is>
          <t>Entrada</t>
        </is>
      </c>
      <c r="F83" s="61" t="n">
        <v>2</v>
      </c>
      <c r="G83" s="59" t="inlineStr">
        <is>
          <t>Bruno Estevam</t>
        </is>
      </c>
      <c r="H83" s="59" t="inlineStr">
        <is>
          <t>Ajuste de inventário</t>
        </is>
      </c>
      <c r="I83" s="67">
        <f>IF(OR(A83="",C83=""),"",IFERROR(INDEX('Produtos'!$F$5:$F$204,MATCH(C83,'Produtos'!$A$5:$A$204,0))+SUMIFS($F$5:$F$1004,$C$5:$C$1004,C83,$E$5:$E$1004,"Entrada",$A$5:$A$1004,"&lt;="&amp;A83)-SUMIFS($F$5:$F$1004,$C$5:$C$1004,C83,$E$5:$E$1004,"Saída",$A$5:$A$1004,"&lt;="&amp;A83),""))</f>
        <v/>
      </c>
      <c r="J83" s="68">
        <f>IF(A83="","",A83+ROW()/100000)</f>
        <v/>
      </c>
    </row>
    <row r="84">
      <c r="A84" s="65" t="n">
        <v>45855</v>
      </c>
      <c r="B84" s="58" t="inlineStr">
        <is>
          <t>MOV-0080</t>
        </is>
      </c>
      <c r="C84" s="58" t="inlineStr">
        <is>
          <t>P008</t>
        </is>
      </c>
      <c r="D84" s="66">
        <f>IF(C84="","",IFERROR(INDEX('Produtos'!$B$5:$B$204,MATCH(C84,'Produtos'!$A$5:$A$204,0)),"Código não cadastrado"))</f>
        <v/>
      </c>
      <c r="E84" s="58" t="inlineStr">
        <is>
          <t>Saída</t>
        </is>
      </c>
      <c r="F84" s="61" t="n">
        <v>96</v>
      </c>
      <c r="G84" s="59" t="inlineStr">
        <is>
          <t>Rodrigo Oliveira</t>
        </is>
      </c>
      <c r="H84" s="59" t="inlineStr">
        <is>
          <t>Instalação em cliente</t>
        </is>
      </c>
      <c r="I84" s="67">
        <f>IF(OR(A84="",C84=""),"",IFERROR(INDEX('Produtos'!$F$5:$F$204,MATCH(C84,'Produtos'!$A$5:$A$204,0))+SUMIFS($F$5:$F$1004,$C$5:$C$1004,C84,$E$5:$E$1004,"Entrada",$A$5:$A$1004,"&lt;="&amp;A84)-SUMIFS($F$5:$F$1004,$C$5:$C$1004,C84,$E$5:$E$1004,"Saída",$A$5:$A$1004,"&lt;="&amp;A84),""))</f>
        <v/>
      </c>
      <c r="J84" s="68">
        <f>IF(A84="","",A84+ROW()/100000)</f>
        <v/>
      </c>
    </row>
    <row r="85">
      <c r="A85" s="65" t="n">
        <v>45856</v>
      </c>
      <c r="B85" s="58" t="inlineStr">
        <is>
          <t>MOV-0081</t>
        </is>
      </c>
      <c r="C85" s="58" t="inlineStr">
        <is>
          <t>P015</t>
        </is>
      </c>
      <c r="D85" s="66">
        <f>IF(C85="","",IFERROR(INDEX('Produtos'!$B$5:$B$204,MATCH(C85,'Produtos'!$A$5:$A$204,0)),"Código não cadastrado"))</f>
        <v/>
      </c>
      <c r="E85" s="58" t="inlineStr">
        <is>
          <t>Saída</t>
        </is>
      </c>
      <c r="F85" s="61" t="n">
        <v>53</v>
      </c>
      <c r="G85" s="59" t="inlineStr">
        <is>
          <t>Rosilene Barbosa</t>
        </is>
      </c>
      <c r="H85" s="59" t="inlineStr">
        <is>
          <t>Expedição de pedido</t>
        </is>
      </c>
      <c r="I85" s="67">
        <f>IF(OR(A85="",C85=""),"",IFERROR(INDEX('Produtos'!$F$5:$F$204,MATCH(C85,'Produtos'!$A$5:$A$204,0))+SUMIFS($F$5:$F$1004,$C$5:$C$1004,C85,$E$5:$E$1004,"Entrada",$A$5:$A$1004,"&lt;="&amp;A85)-SUMIFS($F$5:$F$1004,$C$5:$C$1004,C85,$E$5:$E$1004,"Saída",$A$5:$A$1004,"&lt;="&amp;A85),""))</f>
        <v/>
      </c>
      <c r="J85" s="68">
        <f>IF(A85="","",A85+ROW()/100000)</f>
        <v/>
      </c>
    </row>
    <row r="86">
      <c r="A86" s="65" t="n">
        <v>45859</v>
      </c>
      <c r="B86" s="58" t="inlineStr">
        <is>
          <t>MOV-0082</t>
        </is>
      </c>
      <c r="C86" s="58" t="inlineStr">
        <is>
          <t>P009</t>
        </is>
      </c>
      <c r="D86" s="66">
        <f>IF(C86="","",IFERROR(INDEX('Produtos'!$B$5:$B$204,MATCH(C86,'Produtos'!$A$5:$A$204,0)),"Código não cadastrado"))</f>
        <v/>
      </c>
      <c r="E86" s="58" t="inlineStr">
        <is>
          <t>Saída</t>
        </is>
      </c>
      <c r="F86" s="61" t="n">
        <v>24</v>
      </c>
      <c r="G86" s="59" t="inlineStr">
        <is>
          <t>Rodrigo Oliveira</t>
        </is>
      </c>
      <c r="H86" s="59" t="inlineStr">
        <is>
          <t>Saída para equipe de campo</t>
        </is>
      </c>
      <c r="I86" s="67">
        <f>IF(OR(A86="",C86=""),"",IFERROR(INDEX('Produtos'!$F$5:$F$204,MATCH(C86,'Produtos'!$A$5:$A$204,0))+SUMIFS($F$5:$F$1004,$C$5:$C$1004,C86,$E$5:$E$1004,"Entrada",$A$5:$A$1004,"&lt;="&amp;A86)-SUMIFS($F$5:$F$1004,$C$5:$C$1004,C86,$E$5:$E$1004,"Saída",$A$5:$A$1004,"&lt;="&amp;A86),""))</f>
        <v/>
      </c>
      <c r="J86" s="68">
        <f>IF(A86="","",A86+ROW()/100000)</f>
        <v/>
      </c>
    </row>
    <row r="87">
      <c r="A87" s="65" t="n">
        <v>45860</v>
      </c>
      <c r="B87" s="58" t="inlineStr">
        <is>
          <t>MOV-0083</t>
        </is>
      </c>
      <c r="C87" s="58" t="inlineStr">
        <is>
          <t>P008</t>
        </is>
      </c>
      <c r="D87" s="66">
        <f>IF(C87="","",IFERROR(INDEX('Produtos'!$B$5:$B$204,MATCH(C87,'Produtos'!$A$5:$A$204,0)),"Código não cadastrado"))</f>
        <v/>
      </c>
      <c r="E87" s="58" t="inlineStr">
        <is>
          <t>Entrada</t>
        </is>
      </c>
      <c r="F87" s="61" t="n">
        <v>196</v>
      </c>
      <c r="G87" s="59" t="inlineStr">
        <is>
          <t>Elinaldo Oliveira</t>
        </is>
      </c>
      <c r="H87" s="59" t="inlineStr">
        <is>
          <t>Recebimento de fornecedor</t>
        </is>
      </c>
      <c r="I87" s="67">
        <f>IF(OR(A87="",C87=""),"",IFERROR(INDEX('Produtos'!$F$5:$F$204,MATCH(C87,'Produtos'!$A$5:$A$204,0))+SUMIFS($F$5:$F$1004,$C$5:$C$1004,C87,$E$5:$E$1004,"Entrada",$A$5:$A$1004,"&lt;="&amp;A87)-SUMIFS($F$5:$F$1004,$C$5:$C$1004,C87,$E$5:$E$1004,"Saída",$A$5:$A$1004,"&lt;="&amp;A87),""))</f>
        <v/>
      </c>
      <c r="J87" s="68">
        <f>IF(A87="","",A87+ROW()/100000)</f>
        <v/>
      </c>
    </row>
    <row r="88">
      <c r="A88" s="65" t="n">
        <v>45860</v>
      </c>
      <c r="B88" s="58" t="inlineStr">
        <is>
          <t>MOV-0084</t>
        </is>
      </c>
      <c r="C88" s="58" t="inlineStr">
        <is>
          <t>P024</t>
        </is>
      </c>
      <c r="D88" s="66">
        <f>IF(C88="","",IFERROR(INDEX('Produtos'!$B$5:$B$204,MATCH(C88,'Produtos'!$A$5:$A$204,0)),"Código não cadastrado"))</f>
        <v/>
      </c>
      <c r="E88" s="58" t="inlineStr">
        <is>
          <t>Saída</t>
        </is>
      </c>
      <c r="F88" s="61" t="n">
        <v>30</v>
      </c>
      <c r="G88" s="59" t="inlineStr">
        <is>
          <t>Rodrigo Oliveira</t>
        </is>
      </c>
      <c r="H88" s="59" t="inlineStr">
        <is>
          <t>Saída para manutenção</t>
        </is>
      </c>
      <c r="I88" s="67">
        <f>IF(OR(A88="",C88=""),"",IFERROR(INDEX('Produtos'!$F$5:$F$204,MATCH(C88,'Produtos'!$A$5:$A$204,0))+SUMIFS($F$5:$F$1004,$C$5:$C$1004,C88,$E$5:$E$1004,"Entrada",$A$5:$A$1004,"&lt;="&amp;A88)-SUMIFS($F$5:$F$1004,$C$5:$C$1004,C88,$E$5:$E$1004,"Saída",$A$5:$A$1004,"&lt;="&amp;A88),""))</f>
        <v/>
      </c>
      <c r="J88" s="68">
        <f>IF(A88="","",A88+ROW()/100000)</f>
        <v/>
      </c>
    </row>
    <row r="89">
      <c r="A89" s="65" t="n">
        <v>45861</v>
      </c>
      <c r="B89" s="58" t="inlineStr">
        <is>
          <t>MOV-0085</t>
        </is>
      </c>
      <c r="C89" s="58" t="inlineStr">
        <is>
          <t>P002</t>
        </is>
      </c>
      <c r="D89" s="66">
        <f>IF(C89="","",IFERROR(INDEX('Produtos'!$B$5:$B$204,MATCH(C89,'Produtos'!$A$5:$A$204,0)),"Código não cadastrado"))</f>
        <v/>
      </c>
      <c r="E89" s="58" t="inlineStr">
        <is>
          <t>Saída</t>
        </is>
      </c>
      <c r="F89" s="61" t="n">
        <v>313</v>
      </c>
      <c r="G89" s="59" t="inlineStr">
        <is>
          <t>Wellington Farias</t>
        </is>
      </c>
      <c r="H89" s="59" t="inlineStr">
        <is>
          <t>Saída para equipe de campo</t>
        </is>
      </c>
      <c r="I89" s="67">
        <f>IF(OR(A89="",C89=""),"",IFERROR(INDEX('Produtos'!$F$5:$F$204,MATCH(C89,'Produtos'!$A$5:$A$204,0))+SUMIFS($F$5:$F$1004,$C$5:$C$1004,C89,$E$5:$E$1004,"Entrada",$A$5:$A$1004,"&lt;="&amp;A89)-SUMIFS($F$5:$F$1004,$C$5:$C$1004,C89,$E$5:$E$1004,"Saída",$A$5:$A$1004,"&lt;="&amp;A89),""))</f>
        <v/>
      </c>
      <c r="J89" s="68">
        <f>IF(A89="","",A89+ROW()/100000)</f>
        <v/>
      </c>
    </row>
    <row r="90">
      <c r="A90" s="65" t="n">
        <v>45864</v>
      </c>
      <c r="B90" s="58" t="inlineStr">
        <is>
          <t>MOV-0086</t>
        </is>
      </c>
      <c r="C90" s="58" t="inlineStr">
        <is>
          <t>P009</t>
        </is>
      </c>
      <c r="D90" s="66">
        <f>IF(C90="","",IFERROR(INDEX('Produtos'!$B$5:$B$204,MATCH(C90,'Produtos'!$A$5:$A$204,0)),"Código não cadastrado"))</f>
        <v/>
      </c>
      <c r="E90" s="58" t="inlineStr">
        <is>
          <t>Entrada</t>
        </is>
      </c>
      <c r="F90" s="61" t="n">
        <v>71</v>
      </c>
      <c r="G90" s="59" t="inlineStr">
        <is>
          <t>Eliane Cunha</t>
        </is>
      </c>
      <c r="H90" s="59" t="inlineStr">
        <is>
          <t>Recebimento de fornecedor</t>
        </is>
      </c>
      <c r="I90" s="67">
        <f>IF(OR(A90="",C90=""),"",IFERROR(INDEX('Produtos'!$F$5:$F$204,MATCH(C90,'Produtos'!$A$5:$A$204,0))+SUMIFS($F$5:$F$1004,$C$5:$C$1004,C90,$E$5:$E$1004,"Entrada",$A$5:$A$1004,"&lt;="&amp;A90)-SUMIFS($F$5:$F$1004,$C$5:$C$1004,C90,$E$5:$E$1004,"Saída",$A$5:$A$1004,"&lt;="&amp;A90),""))</f>
        <v/>
      </c>
      <c r="J90" s="68">
        <f>IF(A90="","",A90+ROW()/100000)</f>
        <v/>
      </c>
    </row>
    <row r="91">
      <c r="A91" s="65" t="n">
        <v>45864</v>
      </c>
      <c r="B91" s="58" t="inlineStr">
        <is>
          <t>MOV-0087</t>
        </is>
      </c>
      <c r="C91" s="58" t="inlineStr">
        <is>
          <t>P011</t>
        </is>
      </c>
      <c r="D91" s="66">
        <f>IF(C91="","",IFERROR(INDEX('Produtos'!$B$5:$B$204,MATCH(C91,'Produtos'!$A$5:$A$204,0)),"Código não cadastrado"))</f>
        <v/>
      </c>
      <c r="E91" s="58" t="inlineStr">
        <is>
          <t>Saída</t>
        </is>
      </c>
      <c r="F91" s="61" t="n">
        <v>2</v>
      </c>
      <c r="G91" s="59" t="inlineStr">
        <is>
          <t>Wellington Farias</t>
        </is>
      </c>
      <c r="H91" s="59" t="inlineStr">
        <is>
          <t>Substituição de ferramenta</t>
        </is>
      </c>
      <c r="I91" s="67">
        <f>IF(OR(A91="",C91=""),"",IFERROR(INDEX('Produtos'!$F$5:$F$204,MATCH(C91,'Produtos'!$A$5:$A$204,0))+SUMIFS($F$5:$F$1004,$C$5:$C$1004,C91,$E$5:$E$1004,"Entrada",$A$5:$A$1004,"&lt;="&amp;A91)-SUMIFS($F$5:$F$1004,$C$5:$C$1004,C91,$E$5:$E$1004,"Saída",$A$5:$A$1004,"&lt;="&amp;A91),""))</f>
        <v/>
      </c>
      <c r="J91" s="68">
        <f>IF(A91="","",A91+ROW()/100000)</f>
        <v/>
      </c>
    </row>
    <row r="92">
      <c r="A92" s="65" t="n">
        <v>45867</v>
      </c>
      <c r="B92" s="58" t="inlineStr">
        <is>
          <t>MOV-0088</t>
        </is>
      </c>
      <c r="C92" s="58" t="inlineStr">
        <is>
          <t>P009</t>
        </is>
      </c>
      <c r="D92" s="66">
        <f>IF(C92="","",IFERROR(INDEX('Produtos'!$B$5:$B$204,MATCH(C92,'Produtos'!$A$5:$A$204,0)),"Código não cadastrado"))</f>
        <v/>
      </c>
      <c r="E92" s="58" t="inlineStr">
        <is>
          <t>Saída</t>
        </is>
      </c>
      <c r="F92" s="61" t="n">
        <v>22</v>
      </c>
      <c r="G92" s="59" t="inlineStr">
        <is>
          <t>Wellington Farias</t>
        </is>
      </c>
      <c r="H92" s="59" t="inlineStr">
        <is>
          <t>Instalação em cliente</t>
        </is>
      </c>
      <c r="I92" s="67">
        <f>IF(OR(A92="",C92=""),"",IFERROR(INDEX('Produtos'!$F$5:$F$204,MATCH(C92,'Produtos'!$A$5:$A$204,0))+SUMIFS($F$5:$F$1004,$C$5:$C$1004,C92,$E$5:$E$1004,"Entrada",$A$5:$A$1004,"&lt;="&amp;A92)-SUMIFS($F$5:$F$1004,$C$5:$C$1004,C92,$E$5:$E$1004,"Saída",$A$5:$A$1004,"&lt;="&amp;A92),""))</f>
        <v/>
      </c>
      <c r="J92" s="68">
        <f>IF(A92="","",A92+ROW()/100000)</f>
        <v/>
      </c>
    </row>
    <row r="93">
      <c r="A93" s="65" t="n">
        <v>45869</v>
      </c>
      <c r="B93" s="58" t="inlineStr">
        <is>
          <t>MOV-0089</t>
        </is>
      </c>
      <c r="C93" s="58" t="inlineStr">
        <is>
          <t>P012</t>
        </is>
      </c>
      <c r="D93" s="66">
        <f>IF(C93="","",IFERROR(INDEX('Produtos'!$B$5:$B$204,MATCH(C93,'Produtos'!$A$5:$A$204,0)),"Código não cadastrado"))</f>
        <v/>
      </c>
      <c r="E93" s="58" t="inlineStr">
        <is>
          <t>Saída</t>
        </is>
      </c>
      <c r="F93" s="61" t="n">
        <v>4</v>
      </c>
      <c r="G93" s="59" t="inlineStr">
        <is>
          <t>Rodrigo Oliveira</t>
        </is>
      </c>
      <c r="H93" s="59" t="inlineStr">
        <is>
          <t>Substituição de ferramenta</t>
        </is>
      </c>
      <c r="I93" s="67">
        <f>IF(OR(A93="",C93=""),"",IFERROR(INDEX('Produtos'!$F$5:$F$204,MATCH(C93,'Produtos'!$A$5:$A$204,0))+SUMIFS($F$5:$F$1004,$C$5:$C$1004,C93,$E$5:$E$1004,"Entrada",$A$5:$A$1004,"&lt;="&amp;A93)-SUMIFS($F$5:$F$1004,$C$5:$C$1004,C93,$E$5:$E$1004,"Saída",$A$5:$A$1004,"&lt;="&amp;A93),""))</f>
        <v/>
      </c>
      <c r="J93" s="68">
        <f>IF(A93="","",A93+ROW()/100000)</f>
        <v/>
      </c>
    </row>
    <row r="94">
      <c r="A94" s="65" t="n">
        <v>45869</v>
      </c>
      <c r="B94" s="58" t="inlineStr">
        <is>
          <t>MOV-0090</t>
        </is>
      </c>
      <c r="C94" s="58" t="inlineStr">
        <is>
          <t>P015</t>
        </is>
      </c>
      <c r="D94" s="66">
        <f>IF(C94="","",IFERROR(INDEX('Produtos'!$B$5:$B$204,MATCH(C94,'Produtos'!$A$5:$A$204,0)),"Código não cadastrado"))</f>
        <v/>
      </c>
      <c r="E94" s="58" t="inlineStr">
        <is>
          <t>Saída</t>
        </is>
      </c>
      <c r="F94" s="61" t="n">
        <v>49</v>
      </c>
      <c r="G94" s="59" t="inlineStr">
        <is>
          <t>Rosilene Barbosa</t>
        </is>
      </c>
      <c r="H94" s="59" t="inlineStr">
        <is>
          <t>Expedição de pedido</t>
        </is>
      </c>
      <c r="I94" s="67">
        <f>IF(OR(A94="",C94=""),"",IFERROR(INDEX('Produtos'!$F$5:$F$204,MATCH(C94,'Produtos'!$A$5:$A$204,0))+SUMIFS($F$5:$F$1004,$C$5:$C$1004,C94,$E$5:$E$1004,"Entrada",$A$5:$A$1004,"&lt;="&amp;A94)-SUMIFS($F$5:$F$1004,$C$5:$C$1004,C94,$E$5:$E$1004,"Saída",$A$5:$A$1004,"&lt;="&amp;A94),""))</f>
        <v/>
      </c>
      <c r="J94" s="68">
        <f>IF(A94="","",A94+ROW()/100000)</f>
        <v/>
      </c>
    </row>
    <row r="95">
      <c r="A95" s="65" t="n">
        <v>45870</v>
      </c>
      <c r="B95" s="58" t="inlineStr">
        <is>
          <t>MOV-0091</t>
        </is>
      </c>
      <c r="C95" s="58" t="inlineStr">
        <is>
          <t>P006</t>
        </is>
      </c>
      <c r="D95" s="66">
        <f>IF(C95="","",IFERROR(INDEX('Produtos'!$B$5:$B$204,MATCH(C95,'Produtos'!$A$5:$A$204,0)),"Código não cadastrado"))</f>
        <v/>
      </c>
      <c r="E95" s="58" t="inlineStr">
        <is>
          <t>Saída</t>
        </is>
      </c>
      <c r="F95" s="61" t="n">
        <v>29</v>
      </c>
      <c r="G95" s="59" t="inlineStr">
        <is>
          <t>Wellington Farias</t>
        </is>
      </c>
      <c r="H95" s="59" t="inlineStr">
        <is>
          <t>Saída para equipe de campo</t>
        </is>
      </c>
      <c r="I95" s="67">
        <f>IF(OR(A95="",C95=""),"",IFERROR(INDEX('Produtos'!$F$5:$F$204,MATCH(C95,'Produtos'!$A$5:$A$204,0))+SUMIFS($F$5:$F$1004,$C$5:$C$1004,C95,$E$5:$E$1004,"Entrada",$A$5:$A$1004,"&lt;="&amp;A95)-SUMIFS($F$5:$F$1004,$C$5:$C$1004,C95,$E$5:$E$1004,"Saída",$A$5:$A$1004,"&lt;="&amp;A95),""))</f>
        <v/>
      </c>
      <c r="J95" s="68">
        <f>IF(A95="","",A95+ROW()/100000)</f>
        <v/>
      </c>
    </row>
    <row r="96">
      <c r="A96" s="65" t="n">
        <v>45871</v>
      </c>
      <c r="B96" s="58" t="inlineStr">
        <is>
          <t>MOV-0092</t>
        </is>
      </c>
      <c r="C96" s="58" t="inlineStr">
        <is>
          <t>P027</t>
        </is>
      </c>
      <c r="D96" s="66">
        <f>IF(C96="","",IFERROR(INDEX('Produtos'!$B$5:$B$204,MATCH(C96,'Produtos'!$A$5:$A$204,0)),"Código não cadastrado"))</f>
        <v/>
      </c>
      <c r="E96" s="58" t="inlineStr">
        <is>
          <t>Saída</t>
        </is>
      </c>
      <c r="F96" s="61" t="n">
        <v>6</v>
      </c>
      <c r="G96" s="59" t="inlineStr">
        <is>
          <t>Rodrigo Oliveira</t>
        </is>
      </c>
      <c r="H96" s="59" t="inlineStr">
        <is>
          <t>Saída para manutenção</t>
        </is>
      </c>
      <c r="I96" s="67">
        <f>IF(OR(A96="",C96=""),"",IFERROR(INDEX('Produtos'!$F$5:$F$204,MATCH(C96,'Produtos'!$A$5:$A$204,0))+SUMIFS($F$5:$F$1004,$C$5:$C$1004,C96,$E$5:$E$1004,"Entrada",$A$5:$A$1004,"&lt;="&amp;A96)-SUMIFS($F$5:$F$1004,$C$5:$C$1004,C96,$E$5:$E$1004,"Saída",$A$5:$A$1004,"&lt;="&amp;A96),""))</f>
        <v/>
      </c>
      <c r="J96" s="68">
        <f>IF(A96="","",A96+ROW()/100000)</f>
        <v/>
      </c>
    </row>
    <row r="97">
      <c r="A97" s="65" t="n">
        <v>45873</v>
      </c>
      <c r="B97" s="58" t="inlineStr">
        <is>
          <t>MOV-0093</t>
        </is>
      </c>
      <c r="C97" s="58" t="inlineStr">
        <is>
          <t>P012</t>
        </is>
      </c>
      <c r="D97" s="66">
        <f>IF(C97="","",IFERROR(INDEX('Produtos'!$B$5:$B$204,MATCH(C97,'Produtos'!$A$5:$A$204,0)),"Código não cadastrado"))</f>
        <v/>
      </c>
      <c r="E97" s="58" t="inlineStr">
        <is>
          <t>Entrada</t>
        </is>
      </c>
      <c r="F97" s="61" t="n">
        <v>14</v>
      </c>
      <c r="G97" s="59" t="inlineStr">
        <is>
          <t>Bruno Estevam</t>
        </is>
      </c>
      <c r="H97" s="59" t="inlineStr">
        <is>
          <t>Recebimento de fornecedor</t>
        </is>
      </c>
      <c r="I97" s="67">
        <f>IF(OR(A97="",C97=""),"",IFERROR(INDEX('Produtos'!$F$5:$F$204,MATCH(C97,'Produtos'!$A$5:$A$204,0))+SUMIFS($F$5:$F$1004,$C$5:$C$1004,C97,$E$5:$E$1004,"Entrada",$A$5:$A$1004,"&lt;="&amp;A97)-SUMIFS($F$5:$F$1004,$C$5:$C$1004,C97,$E$5:$E$1004,"Saída",$A$5:$A$1004,"&lt;="&amp;A97),""))</f>
        <v/>
      </c>
      <c r="J97" s="68">
        <f>IF(A97="","",A97+ROW()/100000)</f>
        <v/>
      </c>
    </row>
    <row r="98">
      <c r="A98" s="65" t="n">
        <v>45873</v>
      </c>
      <c r="B98" s="58" t="inlineStr">
        <is>
          <t>MOV-0094</t>
        </is>
      </c>
      <c r="C98" s="58" t="inlineStr">
        <is>
          <t>P020</t>
        </is>
      </c>
      <c r="D98" s="66">
        <f>IF(C98="","",IFERROR(INDEX('Produtos'!$B$5:$B$204,MATCH(C98,'Produtos'!$A$5:$A$204,0)),"Código não cadastrado"))</f>
        <v/>
      </c>
      <c r="E98" s="58" t="inlineStr">
        <is>
          <t>Saída</t>
        </is>
      </c>
      <c r="F98" s="61" t="n">
        <v>9</v>
      </c>
      <c r="G98" s="59" t="inlineStr">
        <is>
          <t>Elinaldo Oliveira</t>
        </is>
      </c>
      <c r="H98" s="59" t="inlineStr">
        <is>
          <t>Entrega de EPI a colaborador</t>
        </is>
      </c>
      <c r="I98" s="67">
        <f>IF(OR(A98="",C98=""),"",IFERROR(INDEX('Produtos'!$F$5:$F$204,MATCH(C98,'Produtos'!$A$5:$A$204,0))+SUMIFS($F$5:$F$1004,$C$5:$C$1004,C98,$E$5:$E$1004,"Entrada",$A$5:$A$1004,"&lt;="&amp;A98)-SUMIFS($F$5:$F$1004,$C$5:$C$1004,C98,$E$5:$E$1004,"Saída",$A$5:$A$1004,"&lt;="&amp;A98),""))</f>
        <v/>
      </c>
      <c r="J98" s="68">
        <f>IF(A98="","",A98+ROW()/100000)</f>
        <v/>
      </c>
    </row>
    <row r="99">
      <c r="A99" s="65" t="n">
        <v>45875</v>
      </c>
      <c r="B99" s="58" t="inlineStr">
        <is>
          <t>MOV-0095</t>
        </is>
      </c>
      <c r="C99" s="58" t="inlineStr">
        <is>
          <t>P005</t>
        </is>
      </c>
      <c r="D99" s="66">
        <f>IF(C99="","",IFERROR(INDEX('Produtos'!$B$5:$B$204,MATCH(C99,'Produtos'!$A$5:$A$204,0)),"Código não cadastrado"))</f>
        <v/>
      </c>
      <c r="E99" s="58" t="inlineStr">
        <is>
          <t>Saída</t>
        </is>
      </c>
      <c r="F99" s="61" t="n">
        <v>469</v>
      </c>
      <c r="G99" s="59" t="inlineStr">
        <is>
          <t>Wellington Farias</t>
        </is>
      </c>
      <c r="H99" s="59" t="inlineStr">
        <is>
          <t>Saída para equipe de campo</t>
        </is>
      </c>
      <c r="I99" s="67">
        <f>IF(OR(A99="",C99=""),"",IFERROR(INDEX('Produtos'!$F$5:$F$204,MATCH(C99,'Produtos'!$A$5:$A$204,0))+SUMIFS($F$5:$F$1004,$C$5:$C$1004,C99,$E$5:$E$1004,"Entrada",$A$5:$A$1004,"&lt;="&amp;A99)-SUMIFS($F$5:$F$1004,$C$5:$C$1004,C99,$E$5:$E$1004,"Saída",$A$5:$A$1004,"&lt;="&amp;A99),""))</f>
        <v/>
      </c>
      <c r="J99" s="68">
        <f>IF(A99="","",A99+ROW()/100000)</f>
        <v/>
      </c>
    </row>
    <row r="100">
      <c r="A100" s="65" t="n">
        <v>45876</v>
      </c>
      <c r="B100" s="58" t="inlineStr">
        <is>
          <t>MOV-0096</t>
        </is>
      </c>
      <c r="C100" s="58" t="inlineStr">
        <is>
          <t>P010</t>
        </is>
      </c>
      <c r="D100" s="66">
        <f>IF(C100="","",IFERROR(INDEX('Produtos'!$B$5:$B$204,MATCH(C100,'Produtos'!$A$5:$A$204,0)),"Código não cadastrado"))</f>
        <v/>
      </c>
      <c r="E100" s="58" t="inlineStr">
        <is>
          <t>Saída</t>
        </is>
      </c>
      <c r="F100" s="61" t="n">
        <v>1</v>
      </c>
      <c r="G100" s="59" t="inlineStr">
        <is>
          <t>Wellington Farias</t>
        </is>
      </c>
      <c r="H100" s="59" t="inlineStr">
        <is>
          <t>Saída para equipe de campo</t>
        </is>
      </c>
      <c r="I100" s="67">
        <f>IF(OR(A100="",C100=""),"",IFERROR(INDEX('Produtos'!$F$5:$F$204,MATCH(C100,'Produtos'!$A$5:$A$204,0))+SUMIFS($F$5:$F$1004,$C$5:$C$1004,C100,$E$5:$E$1004,"Entrada",$A$5:$A$1004,"&lt;="&amp;A100)-SUMIFS($F$5:$F$1004,$C$5:$C$1004,C100,$E$5:$E$1004,"Saída",$A$5:$A$1004,"&lt;="&amp;A100),""))</f>
        <v/>
      </c>
      <c r="J100" s="68">
        <f>IF(A100="","",A100+ROW()/100000)</f>
        <v/>
      </c>
    </row>
    <row r="101">
      <c r="A101" s="65" t="n">
        <v>45877</v>
      </c>
      <c r="B101" s="58" t="inlineStr">
        <is>
          <t>MOV-0097</t>
        </is>
      </c>
      <c r="C101" s="58" t="inlineStr">
        <is>
          <t>P019</t>
        </is>
      </c>
      <c r="D101" s="66">
        <f>IF(C101="","",IFERROR(INDEX('Produtos'!$B$5:$B$204,MATCH(C101,'Produtos'!$A$5:$A$204,0)),"Código não cadastrado"))</f>
        <v/>
      </c>
      <c r="E101" s="58" t="inlineStr">
        <is>
          <t>Saída</t>
        </is>
      </c>
      <c r="F101" s="61" t="n">
        <v>20</v>
      </c>
      <c r="G101" s="59" t="inlineStr">
        <is>
          <t>Elinaldo Oliveira</t>
        </is>
      </c>
      <c r="H101" s="59" t="inlineStr">
        <is>
          <t>Entrega de EPI a colaborador</t>
        </is>
      </c>
      <c r="I101" s="67">
        <f>IF(OR(A101="",C101=""),"",IFERROR(INDEX('Produtos'!$F$5:$F$204,MATCH(C101,'Produtos'!$A$5:$A$204,0))+SUMIFS($F$5:$F$1004,$C$5:$C$1004,C101,$E$5:$E$1004,"Entrada",$A$5:$A$1004,"&lt;="&amp;A101)-SUMIFS($F$5:$F$1004,$C$5:$C$1004,C101,$E$5:$E$1004,"Saída",$A$5:$A$1004,"&lt;="&amp;A101),""))</f>
        <v/>
      </c>
      <c r="J101" s="68">
        <f>IF(A101="","",A101+ROW()/100000)</f>
        <v/>
      </c>
    </row>
    <row r="102">
      <c r="A102" s="65" t="n">
        <v>45877</v>
      </c>
      <c r="B102" s="58" t="inlineStr">
        <is>
          <t>MOV-0098</t>
        </is>
      </c>
      <c r="C102" s="58" t="inlineStr">
        <is>
          <t>P024</t>
        </is>
      </c>
      <c r="D102" s="66">
        <f>IF(C102="","",IFERROR(INDEX('Produtos'!$B$5:$B$204,MATCH(C102,'Produtos'!$A$5:$A$204,0)),"Código não cadastrado"))</f>
        <v/>
      </c>
      <c r="E102" s="58" t="inlineStr">
        <is>
          <t>Saída</t>
        </is>
      </c>
      <c r="F102" s="61" t="n">
        <v>30</v>
      </c>
      <c r="G102" s="59" t="inlineStr">
        <is>
          <t>Elinaldo Oliveira</t>
        </is>
      </c>
      <c r="H102" s="59" t="inlineStr">
        <is>
          <t>Saída para equipe de campo</t>
        </is>
      </c>
      <c r="I102" s="67">
        <f>IF(OR(A102="",C102=""),"",IFERROR(INDEX('Produtos'!$F$5:$F$204,MATCH(C102,'Produtos'!$A$5:$A$204,0))+SUMIFS($F$5:$F$1004,$C$5:$C$1004,C102,$E$5:$E$1004,"Entrada",$A$5:$A$1004,"&lt;="&amp;A102)-SUMIFS($F$5:$F$1004,$C$5:$C$1004,C102,$E$5:$E$1004,"Saída",$A$5:$A$1004,"&lt;="&amp;A102),""))</f>
        <v/>
      </c>
      <c r="J102" s="68">
        <f>IF(A102="","",A102+ROW()/100000)</f>
        <v/>
      </c>
    </row>
    <row r="103">
      <c r="A103" s="65" t="n">
        <v>45880</v>
      </c>
      <c r="B103" s="58" t="inlineStr">
        <is>
          <t>MOV-0099</t>
        </is>
      </c>
      <c r="C103" s="58" t="inlineStr">
        <is>
          <t>P006</t>
        </is>
      </c>
      <c r="D103" s="66">
        <f>IF(C103="","",IFERROR(INDEX('Produtos'!$B$5:$B$204,MATCH(C103,'Produtos'!$A$5:$A$204,0)),"Código não cadastrado"))</f>
        <v/>
      </c>
      <c r="E103" s="58" t="inlineStr">
        <is>
          <t>Entrada</t>
        </is>
      </c>
      <c r="F103" s="61" t="n">
        <v>90</v>
      </c>
      <c r="G103" s="59" t="inlineStr">
        <is>
          <t>Elinaldo Oliveira</t>
        </is>
      </c>
      <c r="H103" s="59" t="inlineStr">
        <is>
          <t>Recebimento de fornecedor</t>
        </is>
      </c>
      <c r="I103" s="67">
        <f>IF(OR(A103="",C103=""),"",IFERROR(INDEX('Produtos'!$F$5:$F$204,MATCH(C103,'Produtos'!$A$5:$A$204,0))+SUMIFS($F$5:$F$1004,$C$5:$C$1004,C103,$E$5:$E$1004,"Entrada",$A$5:$A$1004,"&lt;="&amp;A103)-SUMIFS($F$5:$F$1004,$C$5:$C$1004,C103,$E$5:$E$1004,"Saída",$A$5:$A$1004,"&lt;="&amp;A103),""))</f>
        <v/>
      </c>
      <c r="J103" s="68">
        <f>IF(A103="","",A103+ROW()/100000)</f>
        <v/>
      </c>
    </row>
    <row r="104">
      <c r="A104" s="65" t="n">
        <v>45881</v>
      </c>
      <c r="B104" s="58" t="inlineStr">
        <is>
          <t>MOV-0100</t>
        </is>
      </c>
      <c r="C104" s="58" t="inlineStr">
        <is>
          <t>P019</t>
        </is>
      </c>
      <c r="D104" s="66">
        <f>IF(C104="","",IFERROR(INDEX('Produtos'!$B$5:$B$204,MATCH(C104,'Produtos'!$A$5:$A$204,0)),"Código não cadastrado"))</f>
        <v/>
      </c>
      <c r="E104" s="58" t="inlineStr">
        <is>
          <t>Saída</t>
        </is>
      </c>
      <c r="F104" s="61" t="n">
        <v>30</v>
      </c>
      <c r="G104" s="59" t="inlineStr">
        <is>
          <t>Elinaldo Oliveira</t>
        </is>
      </c>
      <c r="H104" s="59" t="inlineStr">
        <is>
          <t>Entrega de EPI a colaborador</t>
        </is>
      </c>
      <c r="I104" s="67">
        <f>IF(OR(A104="",C104=""),"",IFERROR(INDEX('Produtos'!$F$5:$F$204,MATCH(C104,'Produtos'!$A$5:$A$204,0))+SUMIFS($F$5:$F$1004,$C$5:$C$1004,C104,$E$5:$E$1004,"Entrada",$A$5:$A$1004,"&lt;="&amp;A104)-SUMIFS($F$5:$F$1004,$C$5:$C$1004,C104,$E$5:$E$1004,"Saída",$A$5:$A$1004,"&lt;="&amp;A104),""))</f>
        <v/>
      </c>
      <c r="J104" s="68">
        <f>IF(A104="","",A104+ROW()/100000)</f>
        <v/>
      </c>
    </row>
    <row r="105">
      <c r="A105" s="65" t="n">
        <v>45881</v>
      </c>
      <c r="B105" s="58" t="inlineStr">
        <is>
          <t>MOV-0101</t>
        </is>
      </c>
      <c r="C105" s="58" t="inlineStr">
        <is>
          <t>P030</t>
        </is>
      </c>
      <c r="D105" s="66">
        <f>IF(C105="","",IFERROR(INDEX('Produtos'!$B$5:$B$204,MATCH(C105,'Produtos'!$A$5:$A$204,0)),"Código não cadastrado"))</f>
        <v/>
      </c>
      <c r="E105" s="58" t="inlineStr">
        <is>
          <t>Saída</t>
        </is>
      </c>
      <c r="F105" s="61" t="n">
        <v>12</v>
      </c>
      <c r="G105" s="59" t="inlineStr">
        <is>
          <t>Eliane Cunha</t>
        </is>
      </c>
      <c r="H105" s="59" t="inlineStr">
        <is>
          <t>Consumo interno</t>
        </is>
      </c>
      <c r="I105" s="67">
        <f>IF(OR(A105="",C105=""),"",IFERROR(INDEX('Produtos'!$F$5:$F$204,MATCH(C105,'Produtos'!$A$5:$A$204,0))+SUMIFS($F$5:$F$1004,$C$5:$C$1004,C105,$E$5:$E$1004,"Entrada",$A$5:$A$1004,"&lt;="&amp;A105)-SUMIFS($F$5:$F$1004,$C$5:$C$1004,C105,$E$5:$E$1004,"Saída",$A$5:$A$1004,"&lt;="&amp;A105),""))</f>
        <v/>
      </c>
      <c r="J105" s="68">
        <f>IF(A105="","",A105+ROW()/100000)</f>
        <v/>
      </c>
    </row>
    <row r="106">
      <c r="A106" s="65" t="n">
        <v>45882</v>
      </c>
      <c r="B106" s="58" t="inlineStr">
        <is>
          <t>MOV-0102</t>
        </is>
      </c>
      <c r="C106" s="58" t="inlineStr">
        <is>
          <t>P024</t>
        </is>
      </c>
      <c r="D106" s="66">
        <f>IF(C106="","",IFERROR(INDEX('Produtos'!$B$5:$B$204,MATCH(C106,'Produtos'!$A$5:$A$204,0)),"Código não cadastrado"))</f>
        <v/>
      </c>
      <c r="E106" s="58" t="inlineStr">
        <is>
          <t>Entrada</t>
        </is>
      </c>
      <c r="F106" s="61" t="n">
        <v>90</v>
      </c>
      <c r="G106" s="59" t="inlineStr">
        <is>
          <t>Elinaldo Oliveira</t>
        </is>
      </c>
      <c r="H106" s="59" t="inlineStr">
        <is>
          <t>Recebimento de fornecedor</t>
        </is>
      </c>
      <c r="I106" s="67">
        <f>IF(OR(A106="",C106=""),"",IFERROR(INDEX('Produtos'!$F$5:$F$204,MATCH(C106,'Produtos'!$A$5:$A$204,0))+SUMIFS($F$5:$F$1004,$C$5:$C$1004,C106,$E$5:$E$1004,"Entrada",$A$5:$A$1004,"&lt;="&amp;A106)-SUMIFS($F$5:$F$1004,$C$5:$C$1004,C106,$E$5:$E$1004,"Saída",$A$5:$A$1004,"&lt;="&amp;A106),""))</f>
        <v/>
      </c>
      <c r="J106" s="68">
        <f>IF(A106="","",A106+ROW()/100000)</f>
        <v/>
      </c>
    </row>
    <row r="107">
      <c r="A107" s="65" t="n">
        <v>45883</v>
      </c>
      <c r="B107" s="58" t="inlineStr">
        <is>
          <t>MOV-0103</t>
        </is>
      </c>
      <c r="C107" s="58" t="inlineStr">
        <is>
          <t>P014</t>
        </is>
      </c>
      <c r="D107" s="66">
        <f>IF(C107="","",IFERROR(INDEX('Produtos'!$B$5:$B$204,MATCH(C107,'Produtos'!$A$5:$A$204,0)),"Código não cadastrado"))</f>
        <v/>
      </c>
      <c r="E107" s="58" t="inlineStr">
        <is>
          <t>Saída</t>
        </is>
      </c>
      <c r="F107" s="61" t="n">
        <v>18</v>
      </c>
      <c r="G107" s="59" t="inlineStr">
        <is>
          <t>Rosilene Barbosa</t>
        </is>
      </c>
      <c r="H107" s="59" t="inlineStr">
        <is>
          <t>Expedição de pedido</t>
        </is>
      </c>
      <c r="I107" s="67">
        <f>IF(OR(A107="",C107=""),"",IFERROR(INDEX('Produtos'!$F$5:$F$204,MATCH(C107,'Produtos'!$A$5:$A$204,0))+SUMIFS($F$5:$F$1004,$C$5:$C$1004,C107,$E$5:$E$1004,"Entrada",$A$5:$A$1004,"&lt;="&amp;A107)-SUMIFS($F$5:$F$1004,$C$5:$C$1004,C107,$E$5:$E$1004,"Saída",$A$5:$A$1004,"&lt;="&amp;A107),""))</f>
        <v/>
      </c>
      <c r="J107" s="68">
        <f>IF(A107="","",A107+ROW()/100000)</f>
        <v/>
      </c>
    </row>
    <row r="108">
      <c r="A108" s="65" t="n">
        <v>45883</v>
      </c>
      <c r="B108" s="58" t="inlineStr">
        <is>
          <t>MOV-0104</t>
        </is>
      </c>
      <c r="C108" s="58" t="inlineStr">
        <is>
          <t>P016</t>
        </is>
      </c>
      <c r="D108" s="66">
        <f>IF(C108="","",IFERROR(INDEX('Produtos'!$B$5:$B$204,MATCH(C108,'Produtos'!$A$5:$A$204,0)),"Código não cadastrado"))</f>
        <v/>
      </c>
      <c r="E108" s="58" t="inlineStr">
        <is>
          <t>Saída</t>
        </is>
      </c>
      <c r="F108" s="61" t="n">
        <v>19</v>
      </c>
      <c r="G108" s="59" t="inlineStr">
        <is>
          <t>Rosilene Barbosa</t>
        </is>
      </c>
      <c r="H108" s="59" t="inlineStr">
        <is>
          <t>Expedição de pedido</t>
        </is>
      </c>
      <c r="I108" s="67">
        <f>IF(OR(A108="",C108=""),"",IFERROR(INDEX('Produtos'!$F$5:$F$204,MATCH(C108,'Produtos'!$A$5:$A$204,0))+SUMIFS($F$5:$F$1004,$C$5:$C$1004,C108,$E$5:$E$1004,"Entrada",$A$5:$A$1004,"&lt;="&amp;A108)-SUMIFS($F$5:$F$1004,$C$5:$C$1004,C108,$E$5:$E$1004,"Saída",$A$5:$A$1004,"&lt;="&amp;A108),""))</f>
        <v/>
      </c>
      <c r="J108" s="68">
        <f>IF(A108="","",A108+ROW()/100000)</f>
        <v/>
      </c>
    </row>
    <row r="109">
      <c r="A109" s="65" t="n">
        <v>45884</v>
      </c>
      <c r="B109" s="58" t="inlineStr">
        <is>
          <t>MOV-0105</t>
        </is>
      </c>
      <c r="C109" s="58" t="inlineStr">
        <is>
          <t>P009</t>
        </is>
      </c>
      <c r="D109" s="66">
        <f>IF(C109="","",IFERROR(INDEX('Produtos'!$B$5:$B$204,MATCH(C109,'Produtos'!$A$5:$A$204,0)),"Código não cadastrado"))</f>
        <v/>
      </c>
      <c r="E109" s="58" t="inlineStr">
        <is>
          <t>Saída</t>
        </is>
      </c>
      <c r="F109" s="61" t="n">
        <v>18</v>
      </c>
      <c r="G109" s="59" t="inlineStr">
        <is>
          <t>Wellington Farias</t>
        </is>
      </c>
      <c r="H109" s="59" t="inlineStr">
        <is>
          <t>Instalação em cliente</t>
        </is>
      </c>
      <c r="I109" s="67">
        <f>IF(OR(A109="",C109=""),"",IFERROR(INDEX('Produtos'!$F$5:$F$204,MATCH(C109,'Produtos'!$A$5:$A$204,0))+SUMIFS($F$5:$F$1004,$C$5:$C$1004,C109,$E$5:$E$1004,"Entrada",$A$5:$A$1004,"&lt;="&amp;A109)-SUMIFS($F$5:$F$1004,$C$5:$C$1004,C109,$E$5:$E$1004,"Saída",$A$5:$A$1004,"&lt;="&amp;A109),""))</f>
        <v/>
      </c>
      <c r="J109" s="68">
        <f>IF(A109="","",A109+ROW()/100000)</f>
        <v/>
      </c>
    </row>
    <row r="110">
      <c r="A110" s="65" t="n">
        <v>45887</v>
      </c>
      <c r="B110" s="58" t="inlineStr">
        <is>
          <t>MOV-0106</t>
        </is>
      </c>
      <c r="C110" s="58" t="inlineStr">
        <is>
          <t>P014</t>
        </is>
      </c>
      <c r="D110" s="66">
        <f>IF(C110="","",IFERROR(INDEX('Produtos'!$B$5:$B$204,MATCH(C110,'Produtos'!$A$5:$A$204,0)),"Código não cadastrado"))</f>
        <v/>
      </c>
      <c r="E110" s="58" t="inlineStr">
        <is>
          <t>Entrada</t>
        </is>
      </c>
      <c r="F110" s="61" t="n">
        <v>55</v>
      </c>
      <c r="G110" s="59" t="inlineStr">
        <is>
          <t>Elinaldo Oliveira</t>
        </is>
      </c>
      <c r="H110" s="59" t="inlineStr">
        <is>
          <t>Recebimento de fornecedor</t>
        </is>
      </c>
      <c r="I110" s="67">
        <f>IF(OR(A110="",C110=""),"",IFERROR(INDEX('Produtos'!$F$5:$F$204,MATCH(C110,'Produtos'!$A$5:$A$204,0))+SUMIFS($F$5:$F$1004,$C$5:$C$1004,C110,$E$5:$E$1004,"Entrada",$A$5:$A$1004,"&lt;="&amp;A110)-SUMIFS($F$5:$F$1004,$C$5:$C$1004,C110,$E$5:$E$1004,"Saída",$A$5:$A$1004,"&lt;="&amp;A110),""))</f>
        <v/>
      </c>
      <c r="J110" s="68">
        <f>IF(A110="","",A110+ROW()/100000)</f>
        <v/>
      </c>
    </row>
    <row r="111">
      <c r="A111" s="65" t="n">
        <v>45887</v>
      </c>
      <c r="B111" s="58" t="inlineStr">
        <is>
          <t>MOV-0107</t>
        </is>
      </c>
      <c r="C111" s="58" t="inlineStr">
        <is>
          <t>P030</t>
        </is>
      </c>
      <c r="D111" s="66">
        <f>IF(C111="","",IFERROR(INDEX('Produtos'!$B$5:$B$204,MATCH(C111,'Produtos'!$A$5:$A$204,0)),"Código não cadastrado"))</f>
        <v/>
      </c>
      <c r="E111" s="58" t="inlineStr">
        <is>
          <t>Entrada</t>
        </is>
      </c>
      <c r="F111" s="61" t="n">
        <v>33</v>
      </c>
      <c r="G111" s="59" t="inlineStr">
        <is>
          <t>Elinaldo Oliveira</t>
        </is>
      </c>
      <c r="H111" s="59" t="inlineStr">
        <is>
          <t>Recebimento de fornecedor</t>
        </is>
      </c>
      <c r="I111" s="67">
        <f>IF(OR(A111="",C111=""),"",IFERROR(INDEX('Produtos'!$F$5:$F$204,MATCH(C111,'Produtos'!$A$5:$A$204,0))+SUMIFS($F$5:$F$1004,$C$5:$C$1004,C111,$E$5:$E$1004,"Entrada",$A$5:$A$1004,"&lt;="&amp;A111)-SUMIFS($F$5:$F$1004,$C$5:$C$1004,C111,$E$5:$E$1004,"Saída",$A$5:$A$1004,"&lt;="&amp;A111),""))</f>
        <v/>
      </c>
      <c r="J111" s="68">
        <f>IF(A111="","",A111+ROW()/100000)</f>
        <v/>
      </c>
    </row>
    <row r="112">
      <c r="A112" s="65" t="n">
        <v>45887</v>
      </c>
      <c r="B112" s="58" t="inlineStr">
        <is>
          <t>MOV-0108</t>
        </is>
      </c>
      <c r="C112" s="58" t="inlineStr">
        <is>
          <t>P012</t>
        </is>
      </c>
      <c r="D112" s="66">
        <f>IF(C112="","",IFERROR(INDEX('Produtos'!$B$5:$B$204,MATCH(C112,'Produtos'!$A$5:$A$204,0)),"Código não cadastrado"))</f>
        <v/>
      </c>
      <c r="E112" s="58" t="inlineStr">
        <is>
          <t>Saída</t>
        </is>
      </c>
      <c r="F112" s="61" t="n">
        <v>3</v>
      </c>
      <c r="G112" s="59" t="inlineStr">
        <is>
          <t>Elinaldo Oliveira</t>
        </is>
      </c>
      <c r="H112" s="59" t="inlineStr">
        <is>
          <t>Saída para equipe de campo</t>
        </is>
      </c>
      <c r="I112" s="67">
        <f>IF(OR(A112="",C112=""),"",IFERROR(INDEX('Produtos'!$F$5:$F$204,MATCH(C112,'Produtos'!$A$5:$A$204,0))+SUMIFS($F$5:$F$1004,$C$5:$C$1004,C112,$E$5:$E$1004,"Entrada",$A$5:$A$1004,"&lt;="&amp;A112)-SUMIFS($F$5:$F$1004,$C$5:$C$1004,C112,$E$5:$E$1004,"Saída",$A$5:$A$1004,"&lt;="&amp;A112),""))</f>
        <v/>
      </c>
      <c r="J112" s="68">
        <f>IF(A112="","",A112+ROW()/100000)</f>
        <v/>
      </c>
    </row>
    <row r="113">
      <c r="A113" s="65" t="n">
        <v>45891</v>
      </c>
      <c r="B113" s="58" t="inlineStr">
        <is>
          <t>MOV-0109</t>
        </is>
      </c>
      <c r="C113" s="58" t="inlineStr">
        <is>
          <t>P008</t>
        </is>
      </c>
      <c r="D113" s="66">
        <f>IF(C113="","",IFERROR(INDEX('Produtos'!$B$5:$B$204,MATCH(C113,'Produtos'!$A$5:$A$204,0)),"Código não cadastrado"))</f>
        <v/>
      </c>
      <c r="E113" s="58" t="inlineStr">
        <is>
          <t>Saída</t>
        </is>
      </c>
      <c r="F113" s="61" t="n">
        <v>66</v>
      </c>
      <c r="G113" s="59" t="inlineStr">
        <is>
          <t>Wellington Farias</t>
        </is>
      </c>
      <c r="H113" s="59" t="inlineStr">
        <is>
          <t>Instalação em cliente</t>
        </is>
      </c>
      <c r="I113" s="67">
        <f>IF(OR(A113="",C113=""),"",IFERROR(INDEX('Produtos'!$F$5:$F$204,MATCH(C113,'Produtos'!$A$5:$A$204,0))+SUMIFS($F$5:$F$1004,$C$5:$C$1004,C113,$E$5:$E$1004,"Entrada",$A$5:$A$1004,"&lt;="&amp;A113)-SUMIFS($F$5:$F$1004,$C$5:$C$1004,C113,$E$5:$E$1004,"Saída",$A$5:$A$1004,"&lt;="&amp;A113),""))</f>
        <v/>
      </c>
      <c r="J113" s="68">
        <f>IF(A113="","",A113+ROW()/100000)</f>
        <v/>
      </c>
    </row>
    <row r="114">
      <c r="A114" s="65" t="n">
        <v>45891</v>
      </c>
      <c r="B114" s="58" t="inlineStr">
        <is>
          <t>MOV-0110</t>
        </is>
      </c>
      <c r="C114" s="58" t="inlineStr">
        <is>
          <t>P016</t>
        </is>
      </c>
      <c r="D114" s="66">
        <f>IF(C114="","",IFERROR(INDEX('Produtos'!$B$5:$B$204,MATCH(C114,'Produtos'!$A$5:$A$204,0)),"Código não cadastrado"))</f>
        <v/>
      </c>
      <c r="E114" s="58" t="inlineStr">
        <is>
          <t>Saída</t>
        </is>
      </c>
      <c r="F114" s="61" t="n">
        <v>27</v>
      </c>
      <c r="G114" s="59" t="inlineStr">
        <is>
          <t>Rosilene Barbosa</t>
        </is>
      </c>
      <c r="H114" s="59" t="inlineStr">
        <is>
          <t>Consumo interno</t>
        </is>
      </c>
      <c r="I114" s="67">
        <f>IF(OR(A114="",C114=""),"",IFERROR(INDEX('Produtos'!$F$5:$F$204,MATCH(C114,'Produtos'!$A$5:$A$204,0))+SUMIFS($F$5:$F$1004,$C$5:$C$1004,C114,$E$5:$E$1004,"Entrada",$A$5:$A$1004,"&lt;="&amp;A114)-SUMIFS($F$5:$F$1004,$C$5:$C$1004,C114,$E$5:$E$1004,"Saída",$A$5:$A$1004,"&lt;="&amp;A114),""))</f>
        <v/>
      </c>
      <c r="J114" s="68">
        <f>IF(A114="","",A114+ROW()/100000)</f>
        <v/>
      </c>
    </row>
    <row r="115">
      <c r="A115" s="65" t="n">
        <v>45894</v>
      </c>
      <c r="B115" s="58" t="inlineStr">
        <is>
          <t>MOV-0111</t>
        </is>
      </c>
      <c r="C115" s="58" t="inlineStr">
        <is>
          <t>P022</t>
        </is>
      </c>
      <c r="D115" s="66">
        <f>IF(C115="","",IFERROR(INDEX('Produtos'!$B$5:$B$204,MATCH(C115,'Produtos'!$A$5:$A$204,0)),"Código não cadastrado"))</f>
        <v/>
      </c>
      <c r="E115" s="58" t="inlineStr">
        <is>
          <t>Saída</t>
        </is>
      </c>
      <c r="F115" s="61" t="n">
        <v>2</v>
      </c>
      <c r="G115" s="59" t="inlineStr">
        <is>
          <t>Elinaldo Oliveira</t>
        </is>
      </c>
      <c r="H115" s="59" t="inlineStr">
        <is>
          <t>Entrega de EPI a colaborador</t>
        </is>
      </c>
      <c r="I115" s="67">
        <f>IF(OR(A115="",C115=""),"",IFERROR(INDEX('Produtos'!$F$5:$F$204,MATCH(C115,'Produtos'!$A$5:$A$204,0))+SUMIFS($F$5:$F$1004,$C$5:$C$1004,C115,$E$5:$E$1004,"Entrada",$A$5:$A$1004,"&lt;="&amp;A115)-SUMIFS($F$5:$F$1004,$C$5:$C$1004,C115,$E$5:$E$1004,"Saída",$A$5:$A$1004,"&lt;="&amp;A115),""))</f>
        <v/>
      </c>
      <c r="J115" s="68">
        <f>IF(A115="","",A115+ROW()/100000)</f>
        <v/>
      </c>
    </row>
    <row r="116">
      <c r="A116" s="65" t="n">
        <v>45896</v>
      </c>
      <c r="B116" s="58" t="inlineStr">
        <is>
          <t>MOV-0112</t>
        </is>
      </c>
      <c r="C116" s="58" t="inlineStr">
        <is>
          <t>P005</t>
        </is>
      </c>
      <c r="D116" s="66">
        <f>IF(C116="","",IFERROR(INDEX('Produtos'!$B$5:$B$204,MATCH(C116,'Produtos'!$A$5:$A$204,0)),"Código não cadastrado"))</f>
        <v/>
      </c>
      <c r="E116" s="58" t="inlineStr">
        <is>
          <t>Saída</t>
        </is>
      </c>
      <c r="F116" s="61" t="n">
        <v>431</v>
      </c>
      <c r="G116" s="59" t="inlineStr">
        <is>
          <t>Wellington Farias</t>
        </is>
      </c>
      <c r="H116" s="59" t="inlineStr">
        <is>
          <t>Instalação em cliente</t>
        </is>
      </c>
      <c r="I116" s="67">
        <f>IF(OR(A116="",C116=""),"",IFERROR(INDEX('Produtos'!$F$5:$F$204,MATCH(C116,'Produtos'!$A$5:$A$204,0))+SUMIFS($F$5:$F$1004,$C$5:$C$1004,C116,$E$5:$E$1004,"Entrada",$A$5:$A$1004,"&lt;="&amp;A116)-SUMIFS($F$5:$F$1004,$C$5:$C$1004,C116,$E$5:$E$1004,"Saída",$A$5:$A$1004,"&lt;="&amp;A116),""))</f>
        <v/>
      </c>
      <c r="J116" s="68">
        <f>IF(A116="","",A116+ROW()/100000)</f>
        <v/>
      </c>
    </row>
    <row r="117">
      <c r="A117" s="65" t="n">
        <v>45897</v>
      </c>
      <c r="B117" s="58" t="inlineStr">
        <is>
          <t>MOV-0113</t>
        </is>
      </c>
      <c r="C117" s="58" t="inlineStr">
        <is>
          <t>P021</t>
        </is>
      </c>
      <c r="D117" s="66">
        <f>IF(C117="","",IFERROR(INDEX('Produtos'!$B$5:$B$204,MATCH(C117,'Produtos'!$A$5:$A$204,0)),"Código não cadastrado"))</f>
        <v/>
      </c>
      <c r="E117" s="58" t="inlineStr">
        <is>
          <t>Saída</t>
        </is>
      </c>
      <c r="F117" s="61" t="n">
        <v>5</v>
      </c>
      <c r="G117" s="59" t="inlineStr">
        <is>
          <t>Bruno Estevam</t>
        </is>
      </c>
      <c r="H117" s="59" t="inlineStr">
        <is>
          <t>Entrega de EPI a colaborador</t>
        </is>
      </c>
      <c r="I117" s="67">
        <f>IF(OR(A117="",C117=""),"",IFERROR(INDEX('Produtos'!$F$5:$F$204,MATCH(C117,'Produtos'!$A$5:$A$204,0))+SUMIFS($F$5:$F$1004,$C$5:$C$1004,C117,$E$5:$E$1004,"Entrada",$A$5:$A$1004,"&lt;="&amp;A117)-SUMIFS($F$5:$F$1004,$C$5:$C$1004,C117,$E$5:$E$1004,"Saída",$A$5:$A$1004,"&lt;="&amp;A117),""))</f>
        <v/>
      </c>
      <c r="J117" s="68">
        <f>IF(A117="","",A117+ROW()/100000)</f>
        <v/>
      </c>
    </row>
    <row r="118">
      <c r="A118" s="65" t="n">
        <v>45897</v>
      </c>
      <c r="B118" s="58" t="inlineStr">
        <is>
          <t>MOV-0114</t>
        </is>
      </c>
      <c r="C118" s="58" t="inlineStr">
        <is>
          <t>P030</t>
        </is>
      </c>
      <c r="D118" s="66">
        <f>IF(C118="","",IFERROR(INDEX('Produtos'!$B$5:$B$204,MATCH(C118,'Produtos'!$A$5:$A$204,0)),"Código não cadastrado"))</f>
        <v/>
      </c>
      <c r="E118" s="58" t="inlineStr">
        <is>
          <t>Saída</t>
        </is>
      </c>
      <c r="F118" s="61" t="n">
        <v>10</v>
      </c>
      <c r="G118" s="59" t="inlineStr">
        <is>
          <t>Eliane Cunha</t>
        </is>
      </c>
      <c r="H118" s="59" t="inlineStr">
        <is>
          <t>Consumo interno</t>
        </is>
      </c>
      <c r="I118" s="67">
        <f>IF(OR(A118="",C118=""),"",IFERROR(INDEX('Produtos'!$F$5:$F$204,MATCH(C118,'Produtos'!$A$5:$A$204,0))+SUMIFS($F$5:$F$1004,$C$5:$C$1004,C118,$E$5:$E$1004,"Entrada",$A$5:$A$1004,"&lt;="&amp;A118)-SUMIFS($F$5:$F$1004,$C$5:$C$1004,C118,$E$5:$E$1004,"Saída",$A$5:$A$1004,"&lt;="&amp;A118),""))</f>
        <v/>
      </c>
      <c r="J118" s="68">
        <f>IF(A118="","",A118+ROW()/100000)</f>
        <v/>
      </c>
    </row>
    <row r="119">
      <c r="A119" s="65" t="n">
        <v>45899</v>
      </c>
      <c r="B119" s="58" t="inlineStr">
        <is>
          <t>MOV-0115</t>
        </is>
      </c>
      <c r="C119" s="58" t="inlineStr">
        <is>
          <t>P022</t>
        </is>
      </c>
      <c r="D119" s="66">
        <f>IF(C119="","",IFERROR(INDEX('Produtos'!$B$5:$B$204,MATCH(C119,'Produtos'!$A$5:$A$204,0)),"Código não cadastrado"))</f>
        <v/>
      </c>
      <c r="E119" s="58" t="inlineStr">
        <is>
          <t>Entrada</t>
        </is>
      </c>
      <c r="F119" s="61" t="n">
        <v>8</v>
      </c>
      <c r="G119" s="59" t="inlineStr">
        <is>
          <t>Bruno Estevam</t>
        </is>
      </c>
      <c r="H119" s="59" t="inlineStr">
        <is>
          <t>Recebimento de fornecedor</t>
        </is>
      </c>
      <c r="I119" s="67">
        <f>IF(OR(A119="",C119=""),"",IFERROR(INDEX('Produtos'!$F$5:$F$204,MATCH(C119,'Produtos'!$A$5:$A$204,0))+SUMIFS($F$5:$F$1004,$C$5:$C$1004,C119,$E$5:$E$1004,"Entrada",$A$5:$A$1004,"&lt;="&amp;A119)-SUMIFS($F$5:$F$1004,$C$5:$C$1004,C119,$E$5:$E$1004,"Saída",$A$5:$A$1004,"&lt;="&amp;A119),""))</f>
        <v/>
      </c>
      <c r="J119" s="68">
        <f>IF(A119="","",A119+ROW()/100000)</f>
        <v/>
      </c>
    </row>
    <row r="120">
      <c r="A120" s="65" t="n">
        <v>45899</v>
      </c>
      <c r="B120" s="58" t="inlineStr">
        <is>
          <t>MOV-0116</t>
        </is>
      </c>
      <c r="C120" s="58" t="inlineStr">
        <is>
          <t>P002</t>
        </is>
      </c>
      <c r="D120" s="66">
        <f>IF(C120="","",IFERROR(INDEX('Produtos'!$B$5:$B$204,MATCH(C120,'Produtos'!$A$5:$A$204,0)),"Código não cadastrado"))</f>
        <v/>
      </c>
      <c r="E120" s="58" t="inlineStr">
        <is>
          <t>Saída</t>
        </is>
      </c>
      <c r="F120" s="61" t="n">
        <v>242</v>
      </c>
      <c r="G120" s="59" t="inlineStr">
        <is>
          <t>Rodrigo Oliveira</t>
        </is>
      </c>
      <c r="H120" s="59" t="inlineStr">
        <is>
          <t>Saída para equipe de campo</t>
        </is>
      </c>
      <c r="I120" s="67">
        <f>IF(OR(A120="",C120=""),"",IFERROR(INDEX('Produtos'!$F$5:$F$204,MATCH(C120,'Produtos'!$A$5:$A$204,0))+SUMIFS($F$5:$F$1004,$C$5:$C$1004,C120,$E$5:$E$1004,"Entrada",$A$5:$A$1004,"&lt;="&amp;A120)-SUMIFS($F$5:$F$1004,$C$5:$C$1004,C120,$E$5:$E$1004,"Saída",$A$5:$A$1004,"&lt;="&amp;A120),""))</f>
        <v/>
      </c>
      <c r="J120" s="68">
        <f>IF(A120="","",A120+ROW()/100000)</f>
        <v/>
      </c>
    </row>
    <row r="121">
      <c r="A121" s="65" t="n">
        <v>45899</v>
      </c>
      <c r="B121" s="58" t="inlineStr">
        <is>
          <t>MOV-0117</t>
        </is>
      </c>
      <c r="C121" s="58" t="inlineStr">
        <is>
          <t>P029</t>
        </is>
      </c>
      <c r="D121" s="66">
        <f>IF(C121="","",IFERROR(INDEX('Produtos'!$B$5:$B$204,MATCH(C121,'Produtos'!$A$5:$A$204,0)),"Código não cadastrado"))</f>
        <v/>
      </c>
      <c r="E121" s="58" t="inlineStr">
        <is>
          <t>Saída</t>
        </is>
      </c>
      <c r="F121" s="61" t="n">
        <v>1</v>
      </c>
      <c r="G121" s="59" t="inlineStr">
        <is>
          <t>Rosilene Barbosa</t>
        </is>
      </c>
      <c r="H121" s="59" t="inlineStr">
        <is>
          <t>Consumo interno</t>
        </is>
      </c>
      <c r="I121" s="67">
        <f>IF(OR(A121="",C121=""),"",IFERROR(INDEX('Produtos'!$F$5:$F$204,MATCH(C121,'Produtos'!$A$5:$A$204,0))+SUMIFS($F$5:$F$1004,$C$5:$C$1004,C121,$E$5:$E$1004,"Entrada",$A$5:$A$1004,"&lt;="&amp;A121)-SUMIFS($F$5:$F$1004,$C$5:$C$1004,C121,$E$5:$E$1004,"Saída",$A$5:$A$1004,"&lt;="&amp;A121),""))</f>
        <v/>
      </c>
      <c r="J121" s="68">
        <f>IF(A121="","",A121+ROW()/100000)</f>
        <v/>
      </c>
    </row>
    <row r="122">
      <c r="A122" s="65" t="n">
        <v>45902</v>
      </c>
      <c r="B122" s="58" t="inlineStr">
        <is>
          <t>MOV-0118</t>
        </is>
      </c>
      <c r="C122" s="58" t="inlineStr">
        <is>
          <t>P002</t>
        </is>
      </c>
      <c r="D122" s="66">
        <f>IF(C122="","",IFERROR(INDEX('Produtos'!$B$5:$B$204,MATCH(C122,'Produtos'!$A$5:$A$204,0)),"Código não cadastrado"))</f>
        <v/>
      </c>
      <c r="E122" s="58" t="inlineStr">
        <is>
          <t>Entrada</t>
        </is>
      </c>
      <c r="F122" s="61" t="n">
        <v>555</v>
      </c>
      <c r="G122" s="59" t="inlineStr">
        <is>
          <t>Bruno Estevam</t>
        </is>
      </c>
      <c r="H122" s="59" t="inlineStr">
        <is>
          <t>Recebimento de fornecedor</t>
        </is>
      </c>
      <c r="I122" s="67">
        <f>IF(OR(A122="",C122=""),"",IFERROR(INDEX('Produtos'!$F$5:$F$204,MATCH(C122,'Produtos'!$A$5:$A$204,0))+SUMIFS($F$5:$F$1004,$C$5:$C$1004,C122,$E$5:$E$1004,"Entrada",$A$5:$A$1004,"&lt;="&amp;A122)-SUMIFS($F$5:$F$1004,$C$5:$C$1004,C122,$E$5:$E$1004,"Saída",$A$5:$A$1004,"&lt;="&amp;A122),""))</f>
        <v/>
      </c>
      <c r="J122" s="68">
        <f>IF(A122="","",A122+ROW()/100000)</f>
        <v/>
      </c>
    </row>
    <row r="123">
      <c r="A123" s="65" t="n">
        <v>45902</v>
      </c>
      <c r="B123" s="58" t="inlineStr">
        <is>
          <t>MOV-0119</t>
        </is>
      </c>
      <c r="C123" s="58" t="inlineStr">
        <is>
          <t>P029</t>
        </is>
      </c>
      <c r="D123" s="66">
        <f>IF(C123="","",IFERROR(INDEX('Produtos'!$B$5:$B$204,MATCH(C123,'Produtos'!$A$5:$A$204,0)),"Código não cadastrado"))</f>
        <v/>
      </c>
      <c r="E123" s="58" t="inlineStr">
        <is>
          <t>Entrada</t>
        </is>
      </c>
      <c r="F123" s="61" t="n">
        <v>7</v>
      </c>
      <c r="G123" s="59" t="inlineStr">
        <is>
          <t>Bruno Estevam</t>
        </is>
      </c>
      <c r="H123" s="59" t="inlineStr">
        <is>
          <t>Recebimento de fornecedor</t>
        </is>
      </c>
      <c r="I123" s="67">
        <f>IF(OR(A123="",C123=""),"",IFERROR(INDEX('Produtos'!$F$5:$F$204,MATCH(C123,'Produtos'!$A$5:$A$204,0))+SUMIFS($F$5:$F$1004,$C$5:$C$1004,C123,$E$5:$E$1004,"Entrada",$A$5:$A$1004,"&lt;="&amp;A123)-SUMIFS($F$5:$F$1004,$C$5:$C$1004,C123,$E$5:$E$1004,"Saída",$A$5:$A$1004,"&lt;="&amp;A123),""))</f>
        <v/>
      </c>
      <c r="J123" s="68">
        <f>IF(A123="","",A123+ROW()/100000)</f>
        <v/>
      </c>
    </row>
    <row r="124">
      <c r="A124" s="65" t="n">
        <v>45903</v>
      </c>
      <c r="B124" s="58" t="inlineStr">
        <is>
          <t>MOV-0120</t>
        </is>
      </c>
      <c r="C124" s="58" t="inlineStr">
        <is>
          <t>P021</t>
        </is>
      </c>
      <c r="D124" s="66">
        <f>IF(C124="","",IFERROR(INDEX('Produtos'!$B$5:$B$204,MATCH(C124,'Produtos'!$A$5:$A$204,0)),"Código não cadastrado"))</f>
        <v/>
      </c>
      <c r="E124" s="58" t="inlineStr">
        <is>
          <t>Entrada</t>
        </is>
      </c>
      <c r="F124" s="61" t="n">
        <v>24</v>
      </c>
      <c r="G124" s="59" t="inlineStr">
        <is>
          <t>Elinaldo Oliveira</t>
        </is>
      </c>
      <c r="H124" s="59" t="inlineStr">
        <is>
          <t>Recebimento de fornecedor</t>
        </is>
      </c>
      <c r="I124" s="67">
        <f>IF(OR(A124="",C124=""),"",IFERROR(INDEX('Produtos'!$F$5:$F$204,MATCH(C124,'Produtos'!$A$5:$A$204,0))+SUMIFS($F$5:$F$1004,$C$5:$C$1004,C124,$E$5:$E$1004,"Entrada",$A$5:$A$1004,"&lt;="&amp;A124)-SUMIFS($F$5:$F$1004,$C$5:$C$1004,C124,$E$5:$E$1004,"Saída",$A$5:$A$1004,"&lt;="&amp;A124),""))</f>
        <v/>
      </c>
      <c r="J124" s="68">
        <f>IF(A124="","",A124+ROW()/100000)</f>
        <v/>
      </c>
    </row>
    <row r="125">
      <c r="A125" s="65" t="n">
        <v>45903</v>
      </c>
      <c r="B125" s="58" t="inlineStr">
        <is>
          <t>MOV-0121</t>
        </is>
      </c>
      <c r="C125" s="58" t="inlineStr">
        <is>
          <t>P004</t>
        </is>
      </c>
      <c r="D125" s="66">
        <f>IF(C125="","",IFERROR(INDEX('Produtos'!$B$5:$B$204,MATCH(C125,'Produtos'!$A$5:$A$204,0)),"Código não cadastrado"))</f>
        <v/>
      </c>
      <c r="E125" s="58" t="inlineStr">
        <is>
          <t>Saída</t>
        </is>
      </c>
      <c r="F125" s="61" t="n">
        <v>6</v>
      </c>
      <c r="G125" s="59" t="inlineStr">
        <is>
          <t>Wellington Farias</t>
        </is>
      </c>
      <c r="H125" s="59" t="inlineStr">
        <is>
          <t>Instalação em cliente</t>
        </is>
      </c>
      <c r="I125" s="67">
        <f>IF(OR(A125="",C125=""),"",IFERROR(INDEX('Produtos'!$F$5:$F$204,MATCH(C125,'Produtos'!$A$5:$A$204,0))+SUMIFS($F$5:$F$1004,$C$5:$C$1004,C125,$E$5:$E$1004,"Entrada",$A$5:$A$1004,"&lt;="&amp;A125)-SUMIFS($F$5:$F$1004,$C$5:$C$1004,C125,$E$5:$E$1004,"Saída",$A$5:$A$1004,"&lt;="&amp;A125),""))</f>
        <v/>
      </c>
      <c r="J125" s="68">
        <f>IF(A125="","",A125+ROW()/100000)</f>
        <v/>
      </c>
    </row>
    <row r="126">
      <c r="A126" s="65" t="n">
        <v>45904</v>
      </c>
      <c r="B126" s="58" t="inlineStr">
        <is>
          <t>MOV-0122</t>
        </is>
      </c>
      <c r="C126" s="58" t="inlineStr">
        <is>
          <t>P005</t>
        </is>
      </c>
      <c r="D126" s="66">
        <f>IF(C126="","",IFERROR(INDEX('Produtos'!$B$5:$B$204,MATCH(C126,'Produtos'!$A$5:$A$204,0)),"Código não cadastrado"))</f>
        <v/>
      </c>
      <c r="E126" s="58" t="inlineStr">
        <is>
          <t>Entrada</t>
        </is>
      </c>
      <c r="F126" s="61" t="n">
        <v>1500</v>
      </c>
      <c r="G126" s="59" t="inlineStr">
        <is>
          <t>Eliane Cunha</t>
        </is>
      </c>
      <c r="H126" s="59" t="inlineStr">
        <is>
          <t>Recebimento de fornecedor</t>
        </is>
      </c>
      <c r="I126" s="67">
        <f>IF(OR(A126="",C126=""),"",IFERROR(INDEX('Produtos'!$F$5:$F$204,MATCH(C126,'Produtos'!$A$5:$A$204,0))+SUMIFS($F$5:$F$1004,$C$5:$C$1004,C126,$E$5:$E$1004,"Entrada",$A$5:$A$1004,"&lt;="&amp;A126)-SUMIFS($F$5:$F$1004,$C$5:$C$1004,C126,$E$5:$E$1004,"Saída",$A$5:$A$1004,"&lt;="&amp;A126),""))</f>
        <v/>
      </c>
      <c r="J126" s="68">
        <f>IF(A126="","",A126+ROW()/100000)</f>
        <v/>
      </c>
    </row>
    <row r="127">
      <c r="A127" s="65" t="n">
        <v>45904</v>
      </c>
      <c r="B127" s="58" t="inlineStr">
        <is>
          <t>MOV-0123</t>
        </is>
      </c>
      <c r="C127" s="58" t="inlineStr">
        <is>
          <t>P003</t>
        </is>
      </c>
      <c r="D127" s="66">
        <f>IF(C127="","",IFERROR(INDEX('Produtos'!$B$5:$B$204,MATCH(C127,'Produtos'!$A$5:$A$204,0)),"Código não cadastrado"))</f>
        <v/>
      </c>
      <c r="E127" s="58" t="inlineStr">
        <is>
          <t>Saída</t>
        </is>
      </c>
      <c r="F127" s="61" t="n">
        <v>17</v>
      </c>
      <c r="G127" s="59" t="inlineStr">
        <is>
          <t>Wellington Farias</t>
        </is>
      </c>
      <c r="H127" s="59" t="inlineStr">
        <is>
          <t>Saída para equipe de campo</t>
        </is>
      </c>
      <c r="I127" s="67">
        <f>IF(OR(A127="",C127=""),"",IFERROR(INDEX('Produtos'!$F$5:$F$204,MATCH(C127,'Produtos'!$A$5:$A$204,0))+SUMIFS($F$5:$F$1004,$C$5:$C$1004,C127,$E$5:$E$1004,"Entrada",$A$5:$A$1004,"&lt;="&amp;A127)-SUMIFS($F$5:$F$1004,$C$5:$C$1004,C127,$E$5:$E$1004,"Saída",$A$5:$A$1004,"&lt;="&amp;A127),""))</f>
        <v/>
      </c>
      <c r="J127" s="68">
        <f>IF(A127="","",A127+ROW()/100000)</f>
        <v/>
      </c>
    </row>
    <row r="128">
      <c r="A128" s="65" t="n">
        <v>45908</v>
      </c>
      <c r="B128" s="58" t="inlineStr">
        <is>
          <t>MOV-0124</t>
        </is>
      </c>
      <c r="C128" s="58" t="inlineStr">
        <is>
          <t>P029</t>
        </is>
      </c>
      <c r="D128" s="66">
        <f>IF(C128="","",IFERROR(INDEX('Produtos'!$B$5:$B$204,MATCH(C128,'Produtos'!$A$5:$A$204,0)),"Código não cadastrado"))</f>
        <v/>
      </c>
      <c r="E128" s="58" t="inlineStr">
        <is>
          <t>Saída</t>
        </is>
      </c>
      <c r="F128" s="61" t="n">
        <v>1</v>
      </c>
      <c r="G128" s="59" t="inlineStr">
        <is>
          <t>Rosilene Barbosa</t>
        </is>
      </c>
      <c r="H128" s="59" t="inlineStr">
        <is>
          <t>Consumo interno</t>
        </is>
      </c>
      <c r="I128" s="67">
        <f>IF(OR(A128="",C128=""),"",IFERROR(INDEX('Produtos'!$F$5:$F$204,MATCH(C128,'Produtos'!$A$5:$A$204,0))+SUMIFS($F$5:$F$1004,$C$5:$C$1004,C128,$E$5:$E$1004,"Entrada",$A$5:$A$1004,"&lt;="&amp;A128)-SUMIFS($F$5:$F$1004,$C$5:$C$1004,C128,$E$5:$E$1004,"Saída",$A$5:$A$1004,"&lt;="&amp;A128),""))</f>
        <v/>
      </c>
      <c r="J128" s="68">
        <f>IF(A128="","",A128+ROW()/100000)</f>
        <v/>
      </c>
    </row>
    <row r="129">
      <c r="A129" s="65" t="n">
        <v>45911</v>
      </c>
      <c r="B129" s="58" t="inlineStr">
        <is>
          <t>MOV-0125</t>
        </is>
      </c>
      <c r="C129" s="58" t="inlineStr">
        <is>
          <t>P029</t>
        </is>
      </c>
      <c r="D129" s="66">
        <f>IF(C129="","",IFERROR(INDEX('Produtos'!$B$5:$B$204,MATCH(C129,'Produtos'!$A$5:$A$204,0)),"Código não cadastrado"))</f>
        <v/>
      </c>
      <c r="E129" s="58" t="inlineStr">
        <is>
          <t>Saída</t>
        </is>
      </c>
      <c r="F129" s="61" t="n">
        <v>2</v>
      </c>
      <c r="G129" s="59" t="inlineStr">
        <is>
          <t>Rosilene Barbosa</t>
        </is>
      </c>
      <c r="H129" s="59" t="inlineStr">
        <is>
          <t>Consumo interno</t>
        </is>
      </c>
      <c r="I129" s="67">
        <f>IF(OR(A129="",C129=""),"",IFERROR(INDEX('Produtos'!$F$5:$F$204,MATCH(C129,'Produtos'!$A$5:$A$204,0))+SUMIFS($F$5:$F$1004,$C$5:$C$1004,C129,$E$5:$E$1004,"Entrada",$A$5:$A$1004,"&lt;="&amp;A129)-SUMIFS($F$5:$F$1004,$C$5:$C$1004,C129,$E$5:$E$1004,"Saída",$A$5:$A$1004,"&lt;="&amp;A129),""))</f>
        <v/>
      </c>
      <c r="J129" s="68">
        <f>IF(A129="","",A129+ROW()/100000)</f>
        <v/>
      </c>
    </row>
    <row r="130">
      <c r="A130" s="65" t="n">
        <v>45913</v>
      </c>
      <c r="B130" s="58" t="inlineStr">
        <is>
          <t>MOV-0126</t>
        </is>
      </c>
      <c r="C130" s="58" t="inlineStr">
        <is>
          <t>P007</t>
        </is>
      </c>
      <c r="D130" s="66">
        <f>IF(C130="","",IFERROR(INDEX('Produtos'!$B$5:$B$204,MATCH(C130,'Produtos'!$A$5:$A$204,0)),"Código não cadastrado"))</f>
        <v/>
      </c>
      <c r="E130" s="58" t="inlineStr">
        <is>
          <t>Saída</t>
        </is>
      </c>
      <c r="F130" s="61" t="n">
        <v>13</v>
      </c>
      <c r="G130" s="59" t="inlineStr">
        <is>
          <t>Wellington Farias</t>
        </is>
      </c>
      <c r="H130" s="59" t="inlineStr">
        <is>
          <t>Saída para equipe de campo</t>
        </is>
      </c>
      <c r="I130" s="67">
        <f>IF(OR(A130="",C130=""),"",IFERROR(INDEX('Produtos'!$F$5:$F$204,MATCH(C130,'Produtos'!$A$5:$A$204,0))+SUMIFS($F$5:$F$1004,$C$5:$C$1004,C130,$E$5:$E$1004,"Entrada",$A$5:$A$1004,"&lt;="&amp;A130)-SUMIFS($F$5:$F$1004,$C$5:$C$1004,C130,$E$5:$E$1004,"Saída",$A$5:$A$1004,"&lt;="&amp;A130),""))</f>
        <v/>
      </c>
      <c r="J130" s="68">
        <f>IF(A130="","",A130+ROW()/100000)</f>
        <v/>
      </c>
    </row>
    <row r="131">
      <c r="A131" s="65" t="n">
        <v>45915</v>
      </c>
      <c r="B131" s="58" t="inlineStr">
        <is>
          <t>MOV-0127</t>
        </is>
      </c>
      <c r="C131" s="58" t="inlineStr">
        <is>
          <t>P030</t>
        </is>
      </c>
      <c r="D131" s="66">
        <f>IF(C131="","",IFERROR(INDEX('Produtos'!$B$5:$B$204,MATCH(C131,'Produtos'!$A$5:$A$204,0)),"Código não cadastrado"))</f>
        <v/>
      </c>
      <c r="E131" s="58" t="inlineStr">
        <is>
          <t>Saída</t>
        </is>
      </c>
      <c r="F131" s="61" t="n">
        <v>8</v>
      </c>
      <c r="G131" s="59" t="inlineStr">
        <is>
          <t>Rosilene Barbosa</t>
        </is>
      </c>
      <c r="H131" s="59" t="inlineStr">
        <is>
          <t>Consumo interno</t>
        </is>
      </c>
      <c r="I131" s="67">
        <f>IF(OR(A131="",C131=""),"",IFERROR(INDEX('Produtos'!$F$5:$F$204,MATCH(C131,'Produtos'!$A$5:$A$204,0))+SUMIFS($F$5:$F$1004,$C$5:$C$1004,C131,$E$5:$E$1004,"Entrada",$A$5:$A$1004,"&lt;="&amp;A131)-SUMIFS($F$5:$F$1004,$C$5:$C$1004,C131,$E$5:$E$1004,"Saída",$A$5:$A$1004,"&lt;="&amp;A131),""))</f>
        <v/>
      </c>
      <c r="J131" s="68">
        <f>IF(A131="","",A131+ROW()/100000)</f>
        <v/>
      </c>
    </row>
    <row r="132">
      <c r="A132" s="65" t="n">
        <v>45917</v>
      </c>
      <c r="B132" s="58" t="inlineStr">
        <is>
          <t>MOV-0128</t>
        </is>
      </c>
      <c r="C132" s="58" t="inlineStr">
        <is>
          <t>P017</t>
        </is>
      </c>
      <c r="D132" s="66">
        <f>IF(C132="","",IFERROR(INDEX('Produtos'!$B$5:$B$204,MATCH(C132,'Produtos'!$A$5:$A$204,0)),"Código não cadastrado"))</f>
        <v/>
      </c>
      <c r="E132" s="58" t="inlineStr">
        <is>
          <t>Saída</t>
        </is>
      </c>
      <c r="F132" s="61" t="n">
        <v>77</v>
      </c>
      <c r="G132" s="59" t="inlineStr">
        <is>
          <t>Rosilene Barbosa</t>
        </is>
      </c>
      <c r="H132" s="59" t="inlineStr">
        <is>
          <t>Consumo interno</t>
        </is>
      </c>
      <c r="I132" s="67">
        <f>IF(OR(A132="",C132=""),"",IFERROR(INDEX('Produtos'!$F$5:$F$204,MATCH(C132,'Produtos'!$A$5:$A$204,0))+SUMIFS($F$5:$F$1004,$C$5:$C$1004,C132,$E$5:$E$1004,"Entrada",$A$5:$A$1004,"&lt;="&amp;A132)-SUMIFS($F$5:$F$1004,$C$5:$C$1004,C132,$E$5:$E$1004,"Saída",$A$5:$A$1004,"&lt;="&amp;A132),""))</f>
        <v/>
      </c>
      <c r="J132" s="68">
        <f>IF(A132="","",A132+ROW()/100000)</f>
        <v/>
      </c>
    </row>
    <row r="133">
      <c r="A133" s="65" t="n">
        <v>45920</v>
      </c>
      <c r="B133" s="58" t="inlineStr">
        <is>
          <t>MOV-0129</t>
        </is>
      </c>
      <c r="C133" s="58" t="inlineStr">
        <is>
          <t>P025</t>
        </is>
      </c>
      <c r="D133" s="66">
        <f>IF(C133="","",IFERROR(INDEX('Produtos'!$B$5:$B$204,MATCH(C133,'Produtos'!$A$5:$A$204,0)),"Código não cadastrado"))</f>
        <v/>
      </c>
      <c r="E133" s="58" t="inlineStr">
        <is>
          <t>Saída</t>
        </is>
      </c>
      <c r="F133" s="61" t="n">
        <v>32</v>
      </c>
      <c r="G133" s="59" t="inlineStr">
        <is>
          <t>Elinaldo Oliveira</t>
        </is>
      </c>
      <c r="H133" s="59" t="inlineStr">
        <is>
          <t>Saída para manutenção</t>
        </is>
      </c>
      <c r="I133" s="67">
        <f>IF(OR(A133="",C133=""),"",IFERROR(INDEX('Produtos'!$F$5:$F$204,MATCH(C133,'Produtos'!$A$5:$A$204,0))+SUMIFS($F$5:$F$1004,$C$5:$C$1004,C133,$E$5:$E$1004,"Entrada",$A$5:$A$1004,"&lt;="&amp;A133)-SUMIFS($F$5:$F$1004,$C$5:$C$1004,C133,$E$5:$E$1004,"Saída",$A$5:$A$1004,"&lt;="&amp;A133),""))</f>
        <v/>
      </c>
      <c r="J133" s="68">
        <f>IF(A133="","",A133+ROW()/100000)</f>
        <v/>
      </c>
    </row>
    <row r="134">
      <c r="A134" s="65" t="n">
        <v>45924</v>
      </c>
      <c r="B134" s="58" t="inlineStr">
        <is>
          <t>MOV-0130</t>
        </is>
      </c>
      <c r="C134" s="58" t="inlineStr">
        <is>
          <t>P015</t>
        </is>
      </c>
      <c r="D134" s="66">
        <f>IF(C134="","",IFERROR(INDEX('Produtos'!$B$5:$B$204,MATCH(C134,'Produtos'!$A$5:$A$204,0)),"Código não cadastrado"))</f>
        <v/>
      </c>
      <c r="E134" s="58" t="inlineStr">
        <is>
          <t>Saída</t>
        </is>
      </c>
      <c r="F134" s="61" t="n">
        <v>54</v>
      </c>
      <c r="G134" s="59" t="inlineStr">
        <is>
          <t>Rosilene Barbosa</t>
        </is>
      </c>
      <c r="H134" s="59" t="inlineStr">
        <is>
          <t>Consumo interno</t>
        </is>
      </c>
      <c r="I134" s="67">
        <f>IF(OR(A134="",C134=""),"",IFERROR(INDEX('Produtos'!$F$5:$F$204,MATCH(C134,'Produtos'!$A$5:$A$204,0))+SUMIFS($F$5:$F$1004,$C$5:$C$1004,C134,$E$5:$E$1004,"Entrada",$A$5:$A$1004,"&lt;="&amp;A134)-SUMIFS($F$5:$F$1004,$C$5:$C$1004,C134,$E$5:$E$1004,"Saída",$A$5:$A$1004,"&lt;="&amp;A134),""))</f>
        <v/>
      </c>
      <c r="J134" s="68">
        <f>IF(A134="","",A134+ROW()/100000)</f>
        <v/>
      </c>
    </row>
    <row r="135">
      <c r="A135" s="65" t="n">
        <v>45926</v>
      </c>
      <c r="B135" s="58" t="inlineStr">
        <is>
          <t>MOV-0131</t>
        </is>
      </c>
      <c r="C135" s="58" t="inlineStr">
        <is>
          <t>P017</t>
        </is>
      </c>
      <c r="D135" s="66">
        <f>IF(C135="","",IFERROR(INDEX('Produtos'!$B$5:$B$204,MATCH(C135,'Produtos'!$A$5:$A$204,0)),"Código não cadastrado"))</f>
        <v/>
      </c>
      <c r="E135" s="58" t="inlineStr">
        <is>
          <t>Entrada</t>
        </is>
      </c>
      <c r="F135" s="61" t="n">
        <v>275</v>
      </c>
      <c r="G135" s="59" t="inlineStr">
        <is>
          <t>Eliane Cunha</t>
        </is>
      </c>
      <c r="H135" s="59" t="inlineStr">
        <is>
          <t>Recebimento de fornecedor</t>
        </is>
      </c>
      <c r="I135" s="67">
        <f>IF(OR(A135="",C135=""),"",IFERROR(INDEX('Produtos'!$F$5:$F$204,MATCH(C135,'Produtos'!$A$5:$A$204,0))+SUMIFS($F$5:$F$1004,$C$5:$C$1004,C135,$E$5:$E$1004,"Entrada",$A$5:$A$1004,"&lt;="&amp;A135)-SUMIFS($F$5:$F$1004,$C$5:$C$1004,C135,$E$5:$E$1004,"Saída",$A$5:$A$1004,"&lt;="&amp;A135),""))</f>
        <v/>
      </c>
      <c r="J135" s="68">
        <f>IF(A135="","",A135+ROW()/100000)</f>
        <v/>
      </c>
    </row>
    <row r="136">
      <c r="A136" s="65" t="n">
        <v>45930</v>
      </c>
      <c r="B136" s="58" t="inlineStr">
        <is>
          <t>MOV-0132</t>
        </is>
      </c>
      <c r="C136" s="58" t="inlineStr">
        <is>
          <t>P015</t>
        </is>
      </c>
      <c r="D136" s="66">
        <f>IF(C136="","",IFERROR(INDEX('Produtos'!$B$5:$B$204,MATCH(C136,'Produtos'!$A$5:$A$204,0)),"Código não cadastrado"))</f>
        <v/>
      </c>
      <c r="E136" s="58" t="inlineStr">
        <is>
          <t>Entrada</t>
        </is>
      </c>
      <c r="F136" s="61" t="n">
        <v>156</v>
      </c>
      <c r="G136" s="59" t="inlineStr">
        <is>
          <t>Eliane Cunha</t>
        </is>
      </c>
      <c r="H136" s="59" t="inlineStr">
        <is>
          <t>Recebimento de fornecedor</t>
        </is>
      </c>
      <c r="I136" s="67">
        <f>IF(OR(A136="",C136=""),"",IFERROR(INDEX('Produtos'!$F$5:$F$204,MATCH(C136,'Produtos'!$A$5:$A$204,0))+SUMIFS($F$5:$F$1004,$C$5:$C$1004,C136,$E$5:$E$1004,"Entrada",$A$5:$A$1004,"&lt;="&amp;A136)-SUMIFS($F$5:$F$1004,$C$5:$C$1004,C136,$E$5:$E$1004,"Saída",$A$5:$A$1004,"&lt;="&amp;A136),""))</f>
        <v/>
      </c>
      <c r="J136" s="68">
        <f>IF(A136="","",A136+ROW()/100000)</f>
        <v/>
      </c>
    </row>
    <row r="137">
      <c r="A137" s="65" t="n">
        <v>45932</v>
      </c>
      <c r="B137" s="58" t="inlineStr">
        <is>
          <t>MOV-0133</t>
        </is>
      </c>
      <c r="C137" s="58" t="inlineStr">
        <is>
          <t>P019</t>
        </is>
      </c>
      <c r="D137" s="66">
        <f>IF(C137="","",IFERROR(INDEX('Produtos'!$B$5:$B$204,MATCH(C137,'Produtos'!$A$5:$A$204,0)),"Código não cadastrado"))</f>
        <v/>
      </c>
      <c r="E137" s="58" t="inlineStr">
        <is>
          <t>Saída</t>
        </is>
      </c>
      <c r="F137" s="61" t="n">
        <v>28</v>
      </c>
      <c r="G137" s="59" t="inlineStr">
        <is>
          <t>Elinaldo Oliveira</t>
        </is>
      </c>
      <c r="H137" s="59" t="inlineStr">
        <is>
          <t>Entrega de EPI a colaborador</t>
        </is>
      </c>
      <c r="I137" s="67">
        <f>IF(OR(A137="",C137=""),"",IFERROR(INDEX('Produtos'!$F$5:$F$204,MATCH(C137,'Produtos'!$A$5:$A$204,0))+SUMIFS($F$5:$F$1004,$C$5:$C$1004,C137,$E$5:$E$1004,"Entrada",$A$5:$A$1004,"&lt;="&amp;A137)-SUMIFS($F$5:$F$1004,$C$5:$C$1004,C137,$E$5:$E$1004,"Saída",$A$5:$A$1004,"&lt;="&amp;A137),""))</f>
        <v/>
      </c>
      <c r="J137" s="68">
        <f>IF(A137="","",A137+ROW()/100000)</f>
        <v/>
      </c>
    </row>
    <row r="138">
      <c r="A138" s="65" t="n">
        <v>45934</v>
      </c>
      <c r="B138" s="58" t="inlineStr">
        <is>
          <t>MOV-0134</t>
        </is>
      </c>
      <c r="C138" s="58" t="inlineStr">
        <is>
          <t>P023</t>
        </is>
      </c>
      <c r="D138" s="66">
        <f>IF(C138="","",IFERROR(INDEX('Produtos'!$B$5:$B$204,MATCH(C138,'Produtos'!$A$5:$A$204,0)),"Código não cadastrado"))</f>
        <v/>
      </c>
      <c r="E138" s="58" t="inlineStr">
        <is>
          <t>Saída</t>
        </is>
      </c>
      <c r="F138" s="61" t="n">
        <v>3</v>
      </c>
      <c r="G138" s="59" t="inlineStr">
        <is>
          <t>Bruno Estevam</t>
        </is>
      </c>
      <c r="H138" s="59" t="inlineStr">
        <is>
          <t>Entrega de EPI a colaborador</t>
        </is>
      </c>
      <c r="I138" s="67">
        <f>IF(OR(A138="",C138=""),"",IFERROR(INDEX('Produtos'!$F$5:$F$204,MATCH(C138,'Produtos'!$A$5:$A$204,0))+SUMIFS($F$5:$F$1004,$C$5:$C$1004,C138,$E$5:$E$1004,"Entrada",$A$5:$A$1004,"&lt;="&amp;A138)-SUMIFS($F$5:$F$1004,$C$5:$C$1004,C138,$E$5:$E$1004,"Saída",$A$5:$A$1004,"&lt;="&amp;A138),""))</f>
        <v/>
      </c>
      <c r="J138" s="68">
        <f>IF(A138="","",A138+ROW()/100000)</f>
        <v/>
      </c>
    </row>
    <row r="139">
      <c r="A139" s="65" t="n">
        <v>45936</v>
      </c>
      <c r="B139" s="58" t="inlineStr">
        <is>
          <t>MOV-0135</t>
        </is>
      </c>
      <c r="C139" s="58" t="inlineStr">
        <is>
          <t>P004</t>
        </is>
      </c>
      <c r="D139" s="66">
        <f>IF(C139="","",IFERROR(INDEX('Produtos'!$B$5:$B$204,MATCH(C139,'Produtos'!$A$5:$A$204,0)),"Código não cadastrado"))</f>
        <v/>
      </c>
      <c r="E139" s="58" t="inlineStr">
        <is>
          <t>Saída</t>
        </is>
      </c>
      <c r="F139" s="61" t="n">
        <v>6</v>
      </c>
      <c r="G139" s="59" t="inlineStr">
        <is>
          <t>Wellington Farias</t>
        </is>
      </c>
      <c r="H139" s="59" t="inlineStr">
        <is>
          <t>Saída para equipe de campo</t>
        </is>
      </c>
      <c r="I139" s="67">
        <f>IF(OR(A139="",C139=""),"",IFERROR(INDEX('Produtos'!$F$5:$F$204,MATCH(C139,'Produtos'!$A$5:$A$204,0))+SUMIFS($F$5:$F$1004,$C$5:$C$1004,C139,$E$5:$E$1004,"Entrada",$A$5:$A$1004,"&lt;="&amp;A139)-SUMIFS($F$5:$F$1004,$C$5:$C$1004,C139,$E$5:$E$1004,"Saída",$A$5:$A$1004,"&lt;="&amp;A139),""))</f>
        <v/>
      </c>
      <c r="J139" s="68">
        <f>IF(A139="","",A139+ROW()/100000)</f>
        <v/>
      </c>
    </row>
    <row r="140">
      <c r="A140" s="65" t="n">
        <v>45936</v>
      </c>
      <c r="B140" s="58" t="inlineStr">
        <is>
          <t>MOV-0136</t>
        </is>
      </c>
      <c r="C140" s="58" t="inlineStr">
        <is>
          <t>P014</t>
        </is>
      </c>
      <c r="D140" s="66">
        <f>IF(C140="","",IFERROR(INDEX('Produtos'!$B$5:$B$204,MATCH(C140,'Produtos'!$A$5:$A$204,0)),"Código não cadastrado"))</f>
        <v/>
      </c>
      <c r="E140" s="58" t="inlineStr">
        <is>
          <t>Saída</t>
        </is>
      </c>
      <c r="F140" s="61" t="n">
        <v>16</v>
      </c>
      <c r="G140" s="59" t="inlineStr">
        <is>
          <t>Rosilene Barbosa</t>
        </is>
      </c>
      <c r="H140" s="59" t="inlineStr">
        <is>
          <t>Expedição de pedido</t>
        </is>
      </c>
      <c r="I140" s="67">
        <f>IF(OR(A140="",C140=""),"",IFERROR(INDEX('Produtos'!$F$5:$F$204,MATCH(C140,'Produtos'!$A$5:$A$204,0))+SUMIFS($F$5:$F$1004,$C$5:$C$1004,C140,$E$5:$E$1004,"Entrada",$A$5:$A$1004,"&lt;="&amp;A140)-SUMIFS($F$5:$F$1004,$C$5:$C$1004,C140,$E$5:$E$1004,"Saída",$A$5:$A$1004,"&lt;="&amp;A140),""))</f>
        <v/>
      </c>
      <c r="J140" s="68">
        <f>IF(A140="","",A140+ROW()/100000)</f>
        <v/>
      </c>
    </row>
    <row r="141">
      <c r="A141" s="65" t="n">
        <v>45941</v>
      </c>
      <c r="B141" s="58" t="inlineStr">
        <is>
          <t>MOV-0137</t>
        </is>
      </c>
      <c r="C141" s="58" t="inlineStr">
        <is>
          <t>P028</t>
        </is>
      </c>
      <c r="D141" s="66">
        <f>IF(C141="","",IFERROR(INDEX('Produtos'!$B$5:$B$204,MATCH(C141,'Produtos'!$A$5:$A$204,0)),"Código não cadastrado"))</f>
        <v/>
      </c>
      <c r="E141" s="58" t="inlineStr">
        <is>
          <t>Saída</t>
        </is>
      </c>
      <c r="F141" s="61" t="n">
        <v>13</v>
      </c>
      <c r="G141" s="59" t="inlineStr">
        <is>
          <t>Rosilene Barbosa</t>
        </is>
      </c>
      <c r="H141" s="59" t="inlineStr">
        <is>
          <t>Consumo interno</t>
        </is>
      </c>
      <c r="I141" s="67">
        <f>IF(OR(A141="",C141=""),"",IFERROR(INDEX('Produtos'!$F$5:$F$204,MATCH(C141,'Produtos'!$A$5:$A$204,0))+SUMIFS($F$5:$F$1004,$C$5:$C$1004,C141,$E$5:$E$1004,"Entrada",$A$5:$A$1004,"&lt;="&amp;A141)-SUMIFS($F$5:$F$1004,$C$5:$C$1004,C141,$E$5:$E$1004,"Saída",$A$5:$A$1004,"&lt;="&amp;A141),""))</f>
        <v/>
      </c>
      <c r="J141" s="68">
        <f>IF(A141="","",A141+ROW()/100000)</f>
        <v/>
      </c>
    </row>
    <row r="142">
      <c r="A142" s="65" t="n">
        <v>45943</v>
      </c>
      <c r="B142" s="58" t="inlineStr">
        <is>
          <t>MOV-0138</t>
        </is>
      </c>
      <c r="C142" s="58" t="inlineStr">
        <is>
          <t>P003</t>
        </is>
      </c>
      <c r="D142" s="66">
        <f>IF(C142="","",IFERROR(INDEX('Produtos'!$B$5:$B$204,MATCH(C142,'Produtos'!$A$5:$A$204,0)),"Código não cadastrado"))</f>
        <v/>
      </c>
      <c r="E142" s="58" t="inlineStr">
        <is>
          <t>Saída</t>
        </is>
      </c>
      <c r="F142" s="61" t="n">
        <v>14</v>
      </c>
      <c r="G142" s="59" t="inlineStr">
        <is>
          <t>Wellington Farias</t>
        </is>
      </c>
      <c r="H142" s="59" t="inlineStr">
        <is>
          <t>Saída para equipe de campo</t>
        </is>
      </c>
      <c r="I142" s="67">
        <f>IF(OR(A142="",C142=""),"",IFERROR(INDEX('Produtos'!$F$5:$F$204,MATCH(C142,'Produtos'!$A$5:$A$204,0))+SUMIFS($F$5:$F$1004,$C$5:$C$1004,C142,$E$5:$E$1004,"Entrada",$A$5:$A$1004,"&lt;="&amp;A142)-SUMIFS($F$5:$F$1004,$C$5:$C$1004,C142,$E$5:$E$1004,"Saída",$A$5:$A$1004,"&lt;="&amp;A142),""))</f>
        <v/>
      </c>
      <c r="J142" s="68">
        <f>IF(A142="","",A142+ROW()/100000)</f>
        <v/>
      </c>
    </row>
    <row r="143">
      <c r="A143" s="65" t="n">
        <v>45944</v>
      </c>
      <c r="B143" s="58" t="inlineStr">
        <is>
          <t>MOV-0139</t>
        </is>
      </c>
      <c r="C143" s="58" t="inlineStr">
        <is>
          <t>P017</t>
        </is>
      </c>
      <c r="D143" s="66">
        <f>IF(C143="","",IFERROR(INDEX('Produtos'!$B$5:$B$204,MATCH(C143,'Produtos'!$A$5:$A$204,0)),"Código não cadastrado"))</f>
        <v/>
      </c>
      <c r="E143" s="58" t="inlineStr">
        <is>
          <t>Saída</t>
        </is>
      </c>
      <c r="F143" s="61" t="n">
        <v>94</v>
      </c>
      <c r="G143" s="59" t="inlineStr">
        <is>
          <t>Rosilene Barbosa</t>
        </is>
      </c>
      <c r="H143" s="59" t="inlineStr">
        <is>
          <t>Consumo interno</t>
        </is>
      </c>
      <c r="I143" s="67">
        <f>IF(OR(A143="",C143=""),"",IFERROR(INDEX('Produtos'!$F$5:$F$204,MATCH(C143,'Produtos'!$A$5:$A$204,0))+SUMIFS($F$5:$F$1004,$C$5:$C$1004,C143,$E$5:$E$1004,"Entrada",$A$5:$A$1004,"&lt;="&amp;A143)-SUMIFS($F$5:$F$1004,$C$5:$C$1004,C143,$E$5:$E$1004,"Saída",$A$5:$A$1004,"&lt;="&amp;A143),""))</f>
        <v/>
      </c>
      <c r="J143" s="68">
        <f>IF(A143="","",A143+ROW()/100000)</f>
        <v/>
      </c>
    </row>
    <row r="144">
      <c r="A144" s="65" t="n">
        <v>45945</v>
      </c>
      <c r="B144" s="58" t="inlineStr">
        <is>
          <t>MOV-0140</t>
        </is>
      </c>
      <c r="C144" s="58" t="inlineStr">
        <is>
          <t>P023</t>
        </is>
      </c>
      <c r="D144" s="66">
        <f>IF(C144="","",IFERROR(INDEX('Produtos'!$B$5:$B$204,MATCH(C144,'Produtos'!$A$5:$A$204,0)),"Código não cadastrado"))</f>
        <v/>
      </c>
      <c r="E144" s="58" t="inlineStr">
        <is>
          <t>Saída</t>
        </is>
      </c>
      <c r="F144" s="61" t="n">
        <v>6</v>
      </c>
      <c r="G144" s="59" t="inlineStr">
        <is>
          <t>Bruno Estevam</t>
        </is>
      </c>
      <c r="H144" s="59" t="inlineStr">
        <is>
          <t>Entrega de EPI a colaborador</t>
        </is>
      </c>
      <c r="I144" s="67">
        <f>IF(OR(A144="",C144=""),"",IFERROR(INDEX('Produtos'!$F$5:$F$204,MATCH(C144,'Produtos'!$A$5:$A$204,0))+SUMIFS($F$5:$F$1004,$C$5:$C$1004,C144,$E$5:$E$1004,"Entrada",$A$5:$A$1004,"&lt;="&amp;A144)-SUMIFS($F$5:$F$1004,$C$5:$C$1004,C144,$E$5:$E$1004,"Saída",$A$5:$A$1004,"&lt;="&amp;A144),""))</f>
        <v/>
      </c>
      <c r="J144" s="68">
        <f>IF(A144="","",A144+ROW()/100000)</f>
        <v/>
      </c>
    </row>
    <row r="145">
      <c r="A145" s="65" t="n">
        <v>45946</v>
      </c>
      <c r="B145" s="58" t="inlineStr">
        <is>
          <t>MOV-0141</t>
        </is>
      </c>
      <c r="C145" s="58" t="inlineStr">
        <is>
          <t>P017</t>
        </is>
      </c>
      <c r="D145" s="66">
        <f>IF(C145="","",IFERROR(INDEX('Produtos'!$B$5:$B$204,MATCH(C145,'Produtos'!$A$5:$A$204,0)),"Código não cadastrado"))</f>
        <v/>
      </c>
      <c r="E145" s="58" t="inlineStr">
        <is>
          <t>Saída</t>
        </is>
      </c>
      <c r="F145" s="61" t="n">
        <v>133</v>
      </c>
      <c r="G145" s="59" t="inlineStr">
        <is>
          <t>Rosilene Barbosa</t>
        </is>
      </c>
      <c r="H145" s="59" t="inlineStr">
        <is>
          <t>Expedição de pedido</t>
        </is>
      </c>
      <c r="I145" s="67">
        <f>IF(OR(A145="",C145=""),"",IFERROR(INDEX('Produtos'!$F$5:$F$204,MATCH(C145,'Produtos'!$A$5:$A$204,0))+SUMIFS($F$5:$F$1004,$C$5:$C$1004,C145,$E$5:$E$1004,"Entrada",$A$5:$A$1004,"&lt;="&amp;A145)-SUMIFS($F$5:$F$1004,$C$5:$C$1004,C145,$E$5:$E$1004,"Saída",$A$5:$A$1004,"&lt;="&amp;A145),""))</f>
        <v/>
      </c>
      <c r="J145" s="68">
        <f>IF(A145="","",A145+ROW()/100000)</f>
        <v/>
      </c>
    </row>
    <row r="146">
      <c r="A146" s="65" t="n">
        <v>45946</v>
      </c>
      <c r="B146" s="58" t="inlineStr">
        <is>
          <t>MOV-0142</t>
        </is>
      </c>
      <c r="C146" s="58" t="inlineStr">
        <is>
          <t>P022</t>
        </is>
      </c>
      <c r="D146" s="66">
        <f>IF(C146="","",IFERROR(INDEX('Produtos'!$B$5:$B$204,MATCH(C146,'Produtos'!$A$5:$A$204,0)),"Código não cadastrado"))</f>
        <v/>
      </c>
      <c r="E146" s="58" t="inlineStr">
        <is>
          <t>Saída</t>
        </is>
      </c>
      <c r="F146" s="61" t="n">
        <v>12</v>
      </c>
      <c r="G146" s="59" t="inlineStr">
        <is>
          <t>Bruno Estevam</t>
        </is>
      </c>
      <c r="H146" s="59" t="inlineStr">
        <is>
          <t>Entrega de EPI a colaborador</t>
        </is>
      </c>
      <c r="I146" s="67">
        <f>IF(OR(A146="",C146=""),"",IFERROR(INDEX('Produtos'!$F$5:$F$204,MATCH(C146,'Produtos'!$A$5:$A$204,0))+SUMIFS($F$5:$F$1004,$C$5:$C$1004,C146,$E$5:$E$1004,"Entrada",$A$5:$A$1004,"&lt;="&amp;A146)-SUMIFS($F$5:$F$1004,$C$5:$C$1004,C146,$E$5:$E$1004,"Saída",$A$5:$A$1004,"&lt;="&amp;A146),""))</f>
        <v/>
      </c>
      <c r="J146" s="68">
        <f>IF(A146="","",A146+ROW()/100000)</f>
        <v/>
      </c>
    </row>
    <row r="147">
      <c r="A147" s="65" t="n">
        <v>45947</v>
      </c>
      <c r="B147" s="58" t="inlineStr">
        <is>
          <t>MOV-0143</t>
        </is>
      </c>
      <c r="C147" s="58" t="inlineStr">
        <is>
          <t>P003</t>
        </is>
      </c>
      <c r="D147" s="66">
        <f>IF(C147="","",IFERROR(INDEX('Produtos'!$B$5:$B$204,MATCH(C147,'Produtos'!$A$5:$A$204,0)),"Código não cadastrado"))</f>
        <v/>
      </c>
      <c r="E147" s="58" t="inlineStr">
        <is>
          <t>Entrada</t>
        </is>
      </c>
      <c r="F147" s="61" t="n">
        <v>48</v>
      </c>
      <c r="G147" s="59" t="inlineStr">
        <is>
          <t>Elinaldo Oliveira</t>
        </is>
      </c>
      <c r="H147" s="59" t="inlineStr">
        <is>
          <t>Recebimento de fornecedor</t>
        </is>
      </c>
      <c r="I147" s="67">
        <f>IF(OR(A147="",C147=""),"",IFERROR(INDEX('Produtos'!$F$5:$F$204,MATCH(C147,'Produtos'!$A$5:$A$204,0))+SUMIFS($F$5:$F$1004,$C$5:$C$1004,C147,$E$5:$E$1004,"Entrada",$A$5:$A$1004,"&lt;="&amp;A147)-SUMIFS($F$5:$F$1004,$C$5:$C$1004,C147,$E$5:$E$1004,"Saída",$A$5:$A$1004,"&lt;="&amp;A147),""))</f>
        <v/>
      </c>
      <c r="J147" s="68">
        <f>IF(A147="","",A147+ROW()/100000)</f>
        <v/>
      </c>
    </row>
    <row r="148">
      <c r="A148" s="65" t="n">
        <v>45948</v>
      </c>
      <c r="B148" s="58" t="inlineStr">
        <is>
          <t>MOV-0144</t>
        </is>
      </c>
      <c r="C148" s="58" t="inlineStr">
        <is>
          <t>P012</t>
        </is>
      </c>
      <c r="D148" s="66">
        <f>IF(C148="","",IFERROR(INDEX('Produtos'!$B$5:$B$204,MATCH(C148,'Produtos'!$A$5:$A$204,0)),"Código não cadastrado"))</f>
        <v/>
      </c>
      <c r="E148" s="58" t="inlineStr">
        <is>
          <t>Saída</t>
        </is>
      </c>
      <c r="F148" s="61" t="n">
        <v>3</v>
      </c>
      <c r="G148" s="59" t="inlineStr">
        <is>
          <t>Elinaldo Oliveira</t>
        </is>
      </c>
      <c r="H148" s="59" t="inlineStr">
        <is>
          <t>Substituição de ferramenta</t>
        </is>
      </c>
      <c r="I148" s="67">
        <f>IF(OR(A148="",C148=""),"",IFERROR(INDEX('Produtos'!$F$5:$F$204,MATCH(C148,'Produtos'!$A$5:$A$204,0))+SUMIFS($F$5:$F$1004,$C$5:$C$1004,C148,$E$5:$E$1004,"Entrada",$A$5:$A$1004,"&lt;="&amp;A148)-SUMIFS($F$5:$F$1004,$C$5:$C$1004,C148,$E$5:$E$1004,"Saída",$A$5:$A$1004,"&lt;="&amp;A148),""))</f>
        <v/>
      </c>
      <c r="J148" s="68">
        <f>IF(A148="","",A148+ROW()/100000)</f>
        <v/>
      </c>
    </row>
    <row r="149">
      <c r="A149" s="65" t="n">
        <v>45948</v>
      </c>
      <c r="B149" s="58" t="inlineStr">
        <is>
          <t>MOV-0145</t>
        </is>
      </c>
      <c r="C149" s="58" t="inlineStr">
        <is>
          <t>P024</t>
        </is>
      </c>
      <c r="D149" s="66">
        <f>IF(C149="","",IFERROR(INDEX('Produtos'!$B$5:$B$204,MATCH(C149,'Produtos'!$A$5:$A$204,0)),"Código não cadastrado"))</f>
        <v/>
      </c>
      <c r="E149" s="58" t="inlineStr">
        <is>
          <t>Saída</t>
        </is>
      </c>
      <c r="F149" s="61" t="n">
        <v>34</v>
      </c>
      <c r="G149" s="59" t="inlineStr">
        <is>
          <t>Rodrigo Oliveira</t>
        </is>
      </c>
      <c r="H149" s="59" t="inlineStr">
        <is>
          <t>Saída para manutenção</t>
        </is>
      </c>
      <c r="I149" s="67">
        <f>IF(OR(A149="",C149=""),"",IFERROR(INDEX('Produtos'!$F$5:$F$204,MATCH(C149,'Produtos'!$A$5:$A$204,0))+SUMIFS($F$5:$F$1004,$C$5:$C$1004,C149,$E$5:$E$1004,"Entrada",$A$5:$A$1004,"&lt;="&amp;A149)-SUMIFS($F$5:$F$1004,$C$5:$C$1004,C149,$E$5:$E$1004,"Saída",$A$5:$A$1004,"&lt;="&amp;A149),""))</f>
        <v/>
      </c>
      <c r="J149" s="68">
        <f>IF(A149="","",A149+ROW()/100000)</f>
        <v/>
      </c>
    </row>
    <row r="150">
      <c r="A150" s="65" t="n">
        <v>45950</v>
      </c>
      <c r="B150" s="58" t="inlineStr">
        <is>
          <t>MOV-0146</t>
        </is>
      </c>
      <c r="C150" s="58" t="inlineStr">
        <is>
          <t>P023</t>
        </is>
      </c>
      <c r="D150" s="66">
        <f>IF(C150="","",IFERROR(INDEX('Produtos'!$B$5:$B$204,MATCH(C150,'Produtos'!$A$5:$A$204,0)),"Código não cadastrado"))</f>
        <v/>
      </c>
      <c r="E150" s="58" t="inlineStr">
        <is>
          <t>Entrada</t>
        </is>
      </c>
      <c r="F150" s="61" t="n">
        <v>22</v>
      </c>
      <c r="G150" s="59" t="inlineStr">
        <is>
          <t>Bruno Estevam</t>
        </is>
      </c>
      <c r="H150" s="59" t="inlineStr">
        <is>
          <t>Recebimento de fornecedor</t>
        </is>
      </c>
      <c r="I150" s="67">
        <f>IF(OR(A150="",C150=""),"",IFERROR(INDEX('Produtos'!$F$5:$F$204,MATCH(C150,'Produtos'!$A$5:$A$204,0))+SUMIFS($F$5:$F$1004,$C$5:$C$1004,C150,$E$5:$E$1004,"Entrada",$A$5:$A$1004,"&lt;="&amp;A150)-SUMIFS($F$5:$F$1004,$C$5:$C$1004,C150,$E$5:$E$1004,"Saída",$A$5:$A$1004,"&lt;="&amp;A150),""))</f>
        <v/>
      </c>
      <c r="J150" s="68">
        <f>IF(A150="","",A150+ROW()/100000)</f>
        <v/>
      </c>
    </row>
    <row r="151">
      <c r="A151" s="65" t="n">
        <v>45950</v>
      </c>
      <c r="B151" s="58" t="inlineStr">
        <is>
          <t>MOV-0147</t>
        </is>
      </c>
      <c r="C151" s="58" t="inlineStr">
        <is>
          <t>P012</t>
        </is>
      </c>
      <c r="D151" s="66">
        <f>IF(C151="","",IFERROR(INDEX('Produtos'!$B$5:$B$204,MATCH(C151,'Produtos'!$A$5:$A$204,0)),"Código não cadastrado"))</f>
        <v/>
      </c>
      <c r="E151" s="58" t="inlineStr">
        <is>
          <t>Entrada</t>
        </is>
      </c>
      <c r="F151" s="61" t="n">
        <v>1</v>
      </c>
      <c r="G151" s="59" t="inlineStr">
        <is>
          <t>Bruno Estevam</t>
        </is>
      </c>
      <c r="H151" s="59" t="inlineStr">
        <is>
          <t>Ajuste de inventário</t>
        </is>
      </c>
      <c r="I151" s="67">
        <f>IF(OR(A151="",C151=""),"",IFERROR(INDEX('Produtos'!$F$5:$F$204,MATCH(C151,'Produtos'!$A$5:$A$204,0))+SUMIFS($F$5:$F$1004,$C$5:$C$1004,C151,$E$5:$E$1004,"Entrada",$A$5:$A$1004,"&lt;="&amp;A151)-SUMIFS($F$5:$F$1004,$C$5:$C$1004,C151,$E$5:$E$1004,"Saída",$A$5:$A$1004,"&lt;="&amp;A151),""))</f>
        <v/>
      </c>
      <c r="J151" s="68">
        <f>IF(A151="","",A151+ROW()/100000)</f>
        <v/>
      </c>
    </row>
    <row r="152">
      <c r="A152" s="65" t="n">
        <v>45953</v>
      </c>
      <c r="B152" s="58" t="inlineStr">
        <is>
          <t>MOV-0148</t>
        </is>
      </c>
      <c r="C152" s="58" t="inlineStr">
        <is>
          <t>P017</t>
        </is>
      </c>
      <c r="D152" s="66">
        <f>IF(C152="","",IFERROR(INDEX('Produtos'!$B$5:$B$204,MATCH(C152,'Produtos'!$A$5:$A$204,0)),"Código não cadastrado"))</f>
        <v/>
      </c>
      <c r="E152" s="58" t="inlineStr">
        <is>
          <t>Entrada</t>
        </is>
      </c>
      <c r="F152" s="61" t="n">
        <v>227</v>
      </c>
      <c r="G152" s="59" t="inlineStr">
        <is>
          <t>Bruno Estevam</t>
        </is>
      </c>
      <c r="H152" s="59" t="inlineStr">
        <is>
          <t>Recebimento de fornecedor</t>
        </is>
      </c>
      <c r="I152" s="67">
        <f>IF(OR(A152="",C152=""),"",IFERROR(INDEX('Produtos'!$F$5:$F$204,MATCH(C152,'Produtos'!$A$5:$A$204,0))+SUMIFS($F$5:$F$1004,$C$5:$C$1004,C152,$E$5:$E$1004,"Entrada",$A$5:$A$1004,"&lt;="&amp;A152)-SUMIFS($F$5:$F$1004,$C$5:$C$1004,C152,$E$5:$E$1004,"Saída",$A$5:$A$1004,"&lt;="&amp;A152),""))</f>
        <v/>
      </c>
      <c r="J152" s="68">
        <f>IF(A152="","",A152+ROW()/100000)</f>
        <v/>
      </c>
    </row>
    <row r="153">
      <c r="A153" s="65" t="n">
        <v>45953</v>
      </c>
      <c r="B153" s="58" t="inlineStr">
        <is>
          <t>MOV-0149</t>
        </is>
      </c>
      <c r="C153" s="58" t="inlineStr">
        <is>
          <t>P009</t>
        </is>
      </c>
      <c r="D153" s="66">
        <f>IF(C153="","",IFERROR(INDEX('Produtos'!$B$5:$B$204,MATCH(C153,'Produtos'!$A$5:$A$204,0)),"Código não cadastrado"))</f>
        <v/>
      </c>
      <c r="E153" s="58" t="inlineStr">
        <is>
          <t>Saída</t>
        </is>
      </c>
      <c r="F153" s="61" t="n">
        <v>16</v>
      </c>
      <c r="G153" s="59" t="inlineStr">
        <is>
          <t>Rodrigo Oliveira</t>
        </is>
      </c>
      <c r="H153" s="59" t="inlineStr">
        <is>
          <t>Saída para equipe de campo</t>
        </is>
      </c>
      <c r="I153" s="67">
        <f>IF(OR(A153="",C153=""),"",IFERROR(INDEX('Produtos'!$F$5:$F$204,MATCH(C153,'Produtos'!$A$5:$A$204,0))+SUMIFS($F$5:$F$1004,$C$5:$C$1004,C153,$E$5:$E$1004,"Entrada",$A$5:$A$1004,"&lt;="&amp;A153)-SUMIFS($F$5:$F$1004,$C$5:$C$1004,C153,$E$5:$E$1004,"Saída",$A$5:$A$1004,"&lt;="&amp;A153),""))</f>
        <v/>
      </c>
      <c r="J153" s="68">
        <f>IF(A153="","",A153+ROW()/100000)</f>
        <v/>
      </c>
    </row>
    <row r="154">
      <c r="A154" s="65" t="n">
        <v>45953</v>
      </c>
      <c r="B154" s="58" t="inlineStr">
        <is>
          <t>MOV-0150</t>
        </is>
      </c>
      <c r="C154" s="58" t="inlineStr">
        <is>
          <t>P014</t>
        </is>
      </c>
      <c r="D154" s="66">
        <f>IF(C154="","",IFERROR(INDEX('Produtos'!$B$5:$B$204,MATCH(C154,'Produtos'!$A$5:$A$204,0)),"Código não cadastrado"))</f>
        <v/>
      </c>
      <c r="E154" s="58" t="inlineStr">
        <is>
          <t>Saída</t>
        </is>
      </c>
      <c r="F154" s="61" t="n">
        <v>32</v>
      </c>
      <c r="G154" s="59" t="inlineStr">
        <is>
          <t>Rosilene Barbosa</t>
        </is>
      </c>
      <c r="H154" s="59" t="inlineStr">
        <is>
          <t>Expedição de pedido</t>
        </is>
      </c>
      <c r="I154" s="67">
        <f>IF(OR(A154="",C154=""),"",IFERROR(INDEX('Produtos'!$F$5:$F$204,MATCH(C154,'Produtos'!$A$5:$A$204,0))+SUMIFS($F$5:$F$1004,$C$5:$C$1004,C154,$E$5:$E$1004,"Entrada",$A$5:$A$1004,"&lt;="&amp;A154)-SUMIFS($F$5:$F$1004,$C$5:$C$1004,C154,$E$5:$E$1004,"Saída",$A$5:$A$1004,"&lt;="&amp;A154),""))</f>
        <v/>
      </c>
      <c r="J154" s="68">
        <f>IF(A154="","",A154+ROW()/100000)</f>
        <v/>
      </c>
    </row>
    <row r="155">
      <c r="A155" s="65" t="n">
        <v>45953</v>
      </c>
      <c r="B155" s="58" t="inlineStr">
        <is>
          <t>MOV-0151</t>
        </is>
      </c>
      <c r="C155" s="58" t="inlineStr">
        <is>
          <t>P016</t>
        </is>
      </c>
      <c r="D155" s="66">
        <f>IF(C155="","",IFERROR(INDEX('Produtos'!$B$5:$B$204,MATCH(C155,'Produtos'!$A$5:$A$204,0)),"Código não cadastrado"))</f>
        <v/>
      </c>
      <c r="E155" s="58" t="inlineStr">
        <is>
          <t>Saída</t>
        </is>
      </c>
      <c r="F155" s="61" t="n">
        <v>20</v>
      </c>
      <c r="G155" s="59" t="inlineStr">
        <is>
          <t>Rosilene Barbosa</t>
        </is>
      </c>
      <c r="H155" s="59" t="inlineStr">
        <is>
          <t>Consumo interno</t>
        </is>
      </c>
      <c r="I155" s="67">
        <f>IF(OR(A155="",C155=""),"",IFERROR(INDEX('Produtos'!$F$5:$F$204,MATCH(C155,'Produtos'!$A$5:$A$204,0))+SUMIFS($F$5:$F$1004,$C$5:$C$1004,C155,$E$5:$E$1004,"Entrada",$A$5:$A$1004,"&lt;="&amp;A155)-SUMIFS($F$5:$F$1004,$C$5:$C$1004,C155,$E$5:$E$1004,"Saída",$A$5:$A$1004,"&lt;="&amp;A155),""))</f>
        <v/>
      </c>
      <c r="J155" s="68">
        <f>IF(A155="","",A155+ROW()/100000)</f>
        <v/>
      </c>
    </row>
    <row r="156">
      <c r="A156" s="65" t="n">
        <v>45953</v>
      </c>
      <c r="B156" s="58" t="inlineStr">
        <is>
          <t>MOV-0152</t>
        </is>
      </c>
      <c r="C156" s="58" t="inlineStr">
        <is>
          <t>P028</t>
        </is>
      </c>
      <c r="D156" s="66">
        <f>IF(C156="","",IFERROR(INDEX('Produtos'!$B$5:$B$204,MATCH(C156,'Produtos'!$A$5:$A$204,0)),"Código não cadastrado"))</f>
        <v/>
      </c>
      <c r="E156" s="58" t="inlineStr">
        <is>
          <t>Saída</t>
        </is>
      </c>
      <c r="F156" s="61" t="n">
        <v>9</v>
      </c>
      <c r="G156" s="59" t="inlineStr">
        <is>
          <t>Rosilene Barbosa</t>
        </is>
      </c>
      <c r="H156" s="59" t="inlineStr">
        <is>
          <t>Consumo interno</t>
        </is>
      </c>
      <c r="I156" s="67">
        <f>IF(OR(A156="",C156=""),"",IFERROR(INDEX('Produtos'!$F$5:$F$204,MATCH(C156,'Produtos'!$A$5:$A$204,0))+SUMIFS($F$5:$F$1004,$C$5:$C$1004,C156,$E$5:$E$1004,"Entrada",$A$5:$A$1004,"&lt;="&amp;A156)-SUMIFS($F$5:$F$1004,$C$5:$C$1004,C156,$E$5:$E$1004,"Saída",$A$5:$A$1004,"&lt;="&amp;A156),""))</f>
        <v/>
      </c>
      <c r="J156" s="68">
        <f>IF(A156="","",A156+ROW()/100000)</f>
        <v/>
      </c>
    </row>
    <row r="157">
      <c r="A157" s="65" t="n">
        <v>45954</v>
      </c>
      <c r="B157" s="58" t="inlineStr">
        <is>
          <t>MOV-0153</t>
        </is>
      </c>
      <c r="C157" s="58" t="inlineStr">
        <is>
          <t>P002</t>
        </is>
      </c>
      <c r="D157" s="66">
        <f>IF(C157="","",IFERROR(INDEX('Produtos'!$B$5:$B$204,MATCH(C157,'Produtos'!$A$5:$A$204,0)),"Código não cadastrado"))</f>
        <v/>
      </c>
      <c r="E157" s="58" t="inlineStr">
        <is>
          <t>Saída</t>
        </is>
      </c>
      <c r="F157" s="61" t="n">
        <v>600</v>
      </c>
      <c r="G157" s="59" t="inlineStr">
        <is>
          <t>Rodrigo Oliveira</t>
        </is>
      </c>
      <c r="H157" s="59" t="inlineStr">
        <is>
          <t>Saída para equipe de campo</t>
        </is>
      </c>
      <c r="I157" s="67">
        <f>IF(OR(A157="",C157=""),"",IFERROR(INDEX('Produtos'!$F$5:$F$204,MATCH(C157,'Produtos'!$A$5:$A$204,0))+SUMIFS($F$5:$F$1004,$C$5:$C$1004,C157,$E$5:$E$1004,"Entrada",$A$5:$A$1004,"&lt;="&amp;A157)-SUMIFS($F$5:$F$1004,$C$5:$C$1004,C157,$E$5:$E$1004,"Saída",$A$5:$A$1004,"&lt;="&amp;A157),""))</f>
        <v/>
      </c>
      <c r="J157" s="68">
        <f>IF(A157="","",A157+ROW()/100000)</f>
        <v/>
      </c>
    </row>
    <row r="158">
      <c r="A158" s="65" t="n">
        <v>45955</v>
      </c>
      <c r="B158" s="58" t="inlineStr">
        <is>
          <t>MOV-0154</t>
        </is>
      </c>
      <c r="C158" s="58" t="inlineStr">
        <is>
          <t>P005</t>
        </is>
      </c>
      <c r="D158" s="66">
        <f>IF(C158="","",IFERROR(INDEX('Produtos'!$B$5:$B$204,MATCH(C158,'Produtos'!$A$5:$A$204,0)),"Código não cadastrado"))</f>
        <v/>
      </c>
      <c r="E158" s="58" t="inlineStr">
        <is>
          <t>Saída</t>
        </is>
      </c>
      <c r="F158" s="61" t="n">
        <v>406</v>
      </c>
      <c r="G158" s="59" t="inlineStr">
        <is>
          <t>Rodrigo Oliveira</t>
        </is>
      </c>
      <c r="H158" s="59" t="inlineStr">
        <is>
          <t>Saída para equipe de campo</t>
        </is>
      </c>
      <c r="I158" s="67">
        <f>IF(OR(A158="",C158=""),"",IFERROR(INDEX('Produtos'!$F$5:$F$204,MATCH(C158,'Produtos'!$A$5:$A$204,0))+SUMIFS($F$5:$F$1004,$C$5:$C$1004,C158,$E$5:$E$1004,"Entrada",$A$5:$A$1004,"&lt;="&amp;A158)-SUMIFS($F$5:$F$1004,$C$5:$C$1004,C158,$E$5:$E$1004,"Saída",$A$5:$A$1004,"&lt;="&amp;A158),""))</f>
        <v/>
      </c>
      <c r="J158" s="68">
        <f>IF(A158="","",A158+ROW()/100000)</f>
        <v/>
      </c>
    </row>
    <row r="159">
      <c r="A159" s="65" t="n">
        <v>45955</v>
      </c>
      <c r="B159" s="58" t="inlineStr">
        <is>
          <t>MOV-0155</t>
        </is>
      </c>
      <c r="C159" s="58" t="inlineStr">
        <is>
          <t>P006</t>
        </is>
      </c>
      <c r="D159" s="66">
        <f>IF(C159="","",IFERROR(INDEX('Produtos'!$B$5:$B$204,MATCH(C159,'Produtos'!$A$5:$A$204,0)),"Código não cadastrado"))</f>
        <v/>
      </c>
      <c r="E159" s="58" t="inlineStr">
        <is>
          <t>Saída</t>
        </is>
      </c>
      <c r="F159" s="61" t="n">
        <v>72</v>
      </c>
      <c r="G159" s="59" t="inlineStr">
        <is>
          <t>Rodrigo Oliveira</t>
        </is>
      </c>
      <c r="H159" s="59" t="inlineStr">
        <is>
          <t>Instalação em cliente</t>
        </is>
      </c>
      <c r="I159" s="67">
        <f>IF(OR(A159="",C159=""),"",IFERROR(INDEX('Produtos'!$F$5:$F$204,MATCH(C159,'Produtos'!$A$5:$A$204,0))+SUMIFS($F$5:$F$1004,$C$5:$C$1004,C159,$E$5:$E$1004,"Entrada",$A$5:$A$1004,"&lt;="&amp;A159)-SUMIFS($F$5:$F$1004,$C$5:$C$1004,C159,$E$5:$E$1004,"Saída",$A$5:$A$1004,"&lt;="&amp;A159),""))</f>
        <v/>
      </c>
      <c r="J159" s="68">
        <f>IF(A159="","",A159+ROW()/100000)</f>
        <v/>
      </c>
    </row>
    <row r="160">
      <c r="A160" s="65" t="n">
        <v>45957</v>
      </c>
      <c r="B160" s="58" t="inlineStr">
        <is>
          <t>MOV-0156</t>
        </is>
      </c>
      <c r="C160" s="58" t="inlineStr">
        <is>
          <t>P026</t>
        </is>
      </c>
      <c r="D160" s="66">
        <f>IF(C160="","",IFERROR(INDEX('Produtos'!$B$5:$B$204,MATCH(C160,'Produtos'!$A$5:$A$204,0)),"Código não cadastrado"))</f>
        <v/>
      </c>
      <c r="E160" s="58" t="inlineStr">
        <is>
          <t>Saída</t>
        </is>
      </c>
      <c r="F160" s="61" t="n">
        <v>2</v>
      </c>
      <c r="G160" s="59" t="inlineStr">
        <is>
          <t>Elinaldo Oliveira</t>
        </is>
      </c>
      <c r="H160" s="59" t="inlineStr">
        <is>
          <t>Saída para equipe de campo</t>
        </is>
      </c>
      <c r="I160" s="67">
        <f>IF(OR(A160="",C160=""),"",IFERROR(INDEX('Produtos'!$F$5:$F$204,MATCH(C160,'Produtos'!$A$5:$A$204,0))+SUMIFS($F$5:$F$1004,$C$5:$C$1004,C160,$E$5:$E$1004,"Entrada",$A$5:$A$1004,"&lt;="&amp;A160)-SUMIFS($F$5:$F$1004,$C$5:$C$1004,C160,$E$5:$E$1004,"Saída",$A$5:$A$1004,"&lt;="&amp;A160),""))</f>
        <v/>
      </c>
      <c r="J160" s="68">
        <f>IF(A160="","",A160+ROW()/100000)</f>
        <v/>
      </c>
    </row>
    <row r="161">
      <c r="A161" s="65" t="n">
        <v>45958</v>
      </c>
      <c r="B161" s="58" t="inlineStr">
        <is>
          <t>MOV-0157</t>
        </is>
      </c>
      <c r="C161" s="58" t="inlineStr">
        <is>
          <t>P008</t>
        </is>
      </c>
      <c r="D161" s="66">
        <f>IF(C161="","",IFERROR(INDEX('Produtos'!$B$5:$B$204,MATCH(C161,'Produtos'!$A$5:$A$204,0)),"Código não cadastrado"))</f>
        <v/>
      </c>
      <c r="E161" s="58" t="inlineStr">
        <is>
          <t>Saída</t>
        </is>
      </c>
      <c r="F161" s="61" t="n">
        <v>100</v>
      </c>
      <c r="G161" s="59" t="inlineStr">
        <is>
          <t>Rodrigo Oliveira</t>
        </is>
      </c>
      <c r="H161" s="59" t="inlineStr">
        <is>
          <t>Saída para equipe de campo</t>
        </is>
      </c>
      <c r="I161" s="67">
        <f>IF(OR(A161="",C161=""),"",IFERROR(INDEX('Produtos'!$F$5:$F$204,MATCH(C161,'Produtos'!$A$5:$A$204,0))+SUMIFS($F$5:$F$1004,$C$5:$C$1004,C161,$E$5:$E$1004,"Entrada",$A$5:$A$1004,"&lt;="&amp;A161)-SUMIFS($F$5:$F$1004,$C$5:$C$1004,C161,$E$5:$E$1004,"Saída",$A$5:$A$1004,"&lt;="&amp;A161),""))</f>
        <v/>
      </c>
      <c r="J161" s="68">
        <f>IF(A161="","",A161+ROW()/100000)</f>
        <v/>
      </c>
    </row>
    <row r="162">
      <c r="A162" s="65" t="n">
        <v>45960</v>
      </c>
      <c r="B162" s="58" t="inlineStr">
        <is>
          <t>MOV-0158</t>
        </is>
      </c>
      <c r="C162" s="58" t="inlineStr">
        <is>
          <t>P017</t>
        </is>
      </c>
      <c r="D162" s="66">
        <f>IF(C162="","",IFERROR(INDEX('Produtos'!$B$5:$B$204,MATCH(C162,'Produtos'!$A$5:$A$204,0)),"Código não cadastrado"))</f>
        <v/>
      </c>
      <c r="E162" s="58" t="inlineStr">
        <is>
          <t>Saída</t>
        </is>
      </c>
      <c r="F162" s="61" t="n">
        <v>85</v>
      </c>
      <c r="G162" s="59" t="inlineStr">
        <is>
          <t>Rosilene Barbosa</t>
        </is>
      </c>
      <c r="H162" s="59" t="inlineStr">
        <is>
          <t>Expedição de pedido</t>
        </is>
      </c>
      <c r="I162" s="67">
        <f>IF(OR(A162="",C162=""),"",IFERROR(INDEX('Produtos'!$F$5:$F$204,MATCH(C162,'Produtos'!$A$5:$A$204,0))+SUMIFS($F$5:$F$1004,$C$5:$C$1004,C162,$E$5:$E$1004,"Entrada",$A$5:$A$1004,"&lt;="&amp;A162)-SUMIFS($F$5:$F$1004,$C$5:$C$1004,C162,$E$5:$E$1004,"Saída",$A$5:$A$1004,"&lt;="&amp;A162),""))</f>
        <v/>
      </c>
      <c r="J162" s="68">
        <f>IF(A162="","",A162+ROW()/100000)</f>
        <v/>
      </c>
    </row>
    <row r="163">
      <c r="A163" s="65" t="n"/>
      <c r="B163" s="58" t="n"/>
      <c r="C163" s="58" t="n"/>
      <c r="D163" s="66">
        <f>IF(C163="","",IFERROR(INDEX('Produtos'!$B$5:$B$204,MATCH(C163,'Produtos'!$A$5:$A$204,0)),"Código não cadastrado"))</f>
        <v/>
      </c>
      <c r="E163" s="58" t="n"/>
      <c r="F163" s="61" t="n"/>
      <c r="G163" s="59" t="n"/>
      <c r="H163" s="59" t="n"/>
      <c r="I163" s="67">
        <f>IF(OR(A163="",C163=""),"",IFERROR(INDEX('Produtos'!$F$5:$F$204,MATCH(C163,'Produtos'!$A$5:$A$204,0))+SUMIFS($F$5:$F$1004,$C$5:$C$1004,C163,$E$5:$E$1004,"Entrada",$A$5:$A$1004,"&lt;="&amp;A163)-SUMIFS($F$5:$F$1004,$C$5:$C$1004,C163,$E$5:$E$1004,"Saída",$A$5:$A$1004,"&lt;="&amp;A163),""))</f>
        <v/>
      </c>
      <c r="J163" s="68">
        <f>IF(A163="","",A163+ROW()/100000)</f>
        <v/>
      </c>
    </row>
    <row r="164">
      <c r="A164" s="65" t="n"/>
      <c r="B164" s="58" t="n"/>
      <c r="C164" s="58" t="n"/>
      <c r="D164" s="66">
        <f>IF(C164="","",IFERROR(INDEX('Produtos'!$B$5:$B$204,MATCH(C164,'Produtos'!$A$5:$A$204,0)),"Código não cadastrado"))</f>
        <v/>
      </c>
      <c r="E164" s="58" t="n"/>
      <c r="F164" s="61" t="n"/>
      <c r="G164" s="59" t="n"/>
      <c r="H164" s="59" t="n"/>
      <c r="I164" s="67">
        <f>IF(OR(A164="",C164=""),"",IFERROR(INDEX('Produtos'!$F$5:$F$204,MATCH(C164,'Produtos'!$A$5:$A$204,0))+SUMIFS($F$5:$F$1004,$C$5:$C$1004,C164,$E$5:$E$1004,"Entrada",$A$5:$A$1004,"&lt;="&amp;A164)-SUMIFS($F$5:$F$1004,$C$5:$C$1004,C164,$E$5:$E$1004,"Saída",$A$5:$A$1004,"&lt;="&amp;A164),""))</f>
        <v/>
      </c>
      <c r="J164" s="68">
        <f>IF(A164="","",A164+ROW()/100000)</f>
        <v/>
      </c>
    </row>
    <row r="165">
      <c r="A165" s="65" t="n"/>
      <c r="B165" s="58" t="n"/>
      <c r="C165" s="58" t="n"/>
      <c r="D165" s="66">
        <f>IF(C165="","",IFERROR(INDEX('Produtos'!$B$5:$B$204,MATCH(C165,'Produtos'!$A$5:$A$204,0)),"Código não cadastrado"))</f>
        <v/>
      </c>
      <c r="E165" s="58" t="n"/>
      <c r="F165" s="61" t="n"/>
      <c r="G165" s="59" t="n"/>
      <c r="H165" s="59" t="n"/>
      <c r="I165" s="67">
        <f>IF(OR(A165="",C165=""),"",IFERROR(INDEX('Produtos'!$F$5:$F$204,MATCH(C165,'Produtos'!$A$5:$A$204,0))+SUMIFS($F$5:$F$1004,$C$5:$C$1004,C165,$E$5:$E$1004,"Entrada",$A$5:$A$1004,"&lt;="&amp;A165)-SUMIFS($F$5:$F$1004,$C$5:$C$1004,C165,$E$5:$E$1004,"Saída",$A$5:$A$1004,"&lt;="&amp;A165),""))</f>
        <v/>
      </c>
      <c r="J165" s="68">
        <f>IF(A165="","",A165+ROW()/100000)</f>
        <v/>
      </c>
    </row>
    <row r="166">
      <c r="A166" s="65" t="n"/>
      <c r="B166" s="58" t="n"/>
      <c r="C166" s="58" t="n"/>
      <c r="D166" s="66">
        <f>IF(C166="","",IFERROR(INDEX('Produtos'!$B$5:$B$204,MATCH(C166,'Produtos'!$A$5:$A$204,0)),"Código não cadastrado"))</f>
        <v/>
      </c>
      <c r="E166" s="58" t="n"/>
      <c r="F166" s="61" t="n"/>
      <c r="G166" s="59" t="n"/>
      <c r="H166" s="59" t="n"/>
      <c r="I166" s="67">
        <f>IF(OR(A166="",C166=""),"",IFERROR(INDEX('Produtos'!$F$5:$F$204,MATCH(C166,'Produtos'!$A$5:$A$204,0))+SUMIFS($F$5:$F$1004,$C$5:$C$1004,C166,$E$5:$E$1004,"Entrada",$A$5:$A$1004,"&lt;="&amp;A166)-SUMIFS($F$5:$F$1004,$C$5:$C$1004,C166,$E$5:$E$1004,"Saída",$A$5:$A$1004,"&lt;="&amp;A166),""))</f>
        <v/>
      </c>
      <c r="J166" s="68">
        <f>IF(A166="","",A166+ROW()/100000)</f>
        <v/>
      </c>
    </row>
    <row r="167">
      <c r="A167" s="65" t="n"/>
      <c r="B167" s="58" t="n"/>
      <c r="C167" s="58" t="n"/>
      <c r="D167" s="66">
        <f>IF(C167="","",IFERROR(INDEX('Produtos'!$B$5:$B$204,MATCH(C167,'Produtos'!$A$5:$A$204,0)),"Código não cadastrado"))</f>
        <v/>
      </c>
      <c r="E167" s="58" t="n"/>
      <c r="F167" s="61" t="n"/>
      <c r="G167" s="59" t="n"/>
      <c r="H167" s="59" t="n"/>
      <c r="I167" s="67">
        <f>IF(OR(A167="",C167=""),"",IFERROR(INDEX('Produtos'!$F$5:$F$204,MATCH(C167,'Produtos'!$A$5:$A$204,0))+SUMIFS($F$5:$F$1004,$C$5:$C$1004,C167,$E$5:$E$1004,"Entrada",$A$5:$A$1004,"&lt;="&amp;A167)-SUMIFS($F$5:$F$1004,$C$5:$C$1004,C167,$E$5:$E$1004,"Saída",$A$5:$A$1004,"&lt;="&amp;A167),""))</f>
        <v/>
      </c>
      <c r="J167" s="68">
        <f>IF(A167="","",A167+ROW()/100000)</f>
        <v/>
      </c>
    </row>
    <row r="168">
      <c r="A168" s="65" t="n"/>
      <c r="B168" s="58" t="n"/>
      <c r="C168" s="58" t="n"/>
      <c r="D168" s="66">
        <f>IF(C168="","",IFERROR(INDEX('Produtos'!$B$5:$B$204,MATCH(C168,'Produtos'!$A$5:$A$204,0)),"Código não cadastrado"))</f>
        <v/>
      </c>
      <c r="E168" s="58" t="n"/>
      <c r="F168" s="61" t="n"/>
      <c r="G168" s="59" t="n"/>
      <c r="H168" s="59" t="n"/>
      <c r="I168" s="67">
        <f>IF(OR(A168="",C168=""),"",IFERROR(INDEX('Produtos'!$F$5:$F$204,MATCH(C168,'Produtos'!$A$5:$A$204,0))+SUMIFS($F$5:$F$1004,$C$5:$C$1004,C168,$E$5:$E$1004,"Entrada",$A$5:$A$1004,"&lt;="&amp;A168)-SUMIFS($F$5:$F$1004,$C$5:$C$1004,C168,$E$5:$E$1004,"Saída",$A$5:$A$1004,"&lt;="&amp;A168),""))</f>
        <v/>
      </c>
      <c r="J168" s="68">
        <f>IF(A168="","",A168+ROW()/100000)</f>
        <v/>
      </c>
    </row>
    <row r="169">
      <c r="A169" s="65" t="n"/>
      <c r="B169" s="58" t="n"/>
      <c r="C169" s="58" t="n"/>
      <c r="D169" s="66">
        <f>IF(C169="","",IFERROR(INDEX('Produtos'!$B$5:$B$204,MATCH(C169,'Produtos'!$A$5:$A$204,0)),"Código não cadastrado"))</f>
        <v/>
      </c>
      <c r="E169" s="58" t="n"/>
      <c r="F169" s="61" t="n"/>
      <c r="G169" s="59" t="n"/>
      <c r="H169" s="59" t="n"/>
      <c r="I169" s="67">
        <f>IF(OR(A169="",C169=""),"",IFERROR(INDEX('Produtos'!$F$5:$F$204,MATCH(C169,'Produtos'!$A$5:$A$204,0))+SUMIFS($F$5:$F$1004,$C$5:$C$1004,C169,$E$5:$E$1004,"Entrada",$A$5:$A$1004,"&lt;="&amp;A169)-SUMIFS($F$5:$F$1004,$C$5:$C$1004,C169,$E$5:$E$1004,"Saída",$A$5:$A$1004,"&lt;="&amp;A169),""))</f>
        <v/>
      </c>
      <c r="J169" s="68">
        <f>IF(A169="","",A169+ROW()/100000)</f>
        <v/>
      </c>
    </row>
    <row r="170">
      <c r="A170" s="65" t="n"/>
      <c r="B170" s="58" t="n"/>
      <c r="C170" s="58" t="n"/>
      <c r="D170" s="66">
        <f>IF(C170="","",IFERROR(INDEX('Produtos'!$B$5:$B$204,MATCH(C170,'Produtos'!$A$5:$A$204,0)),"Código não cadastrado"))</f>
        <v/>
      </c>
      <c r="E170" s="58" t="n"/>
      <c r="F170" s="61" t="n"/>
      <c r="G170" s="59" t="n"/>
      <c r="H170" s="59" t="n"/>
      <c r="I170" s="67">
        <f>IF(OR(A170="",C170=""),"",IFERROR(INDEX('Produtos'!$F$5:$F$204,MATCH(C170,'Produtos'!$A$5:$A$204,0))+SUMIFS($F$5:$F$1004,$C$5:$C$1004,C170,$E$5:$E$1004,"Entrada",$A$5:$A$1004,"&lt;="&amp;A170)-SUMIFS($F$5:$F$1004,$C$5:$C$1004,C170,$E$5:$E$1004,"Saída",$A$5:$A$1004,"&lt;="&amp;A170),""))</f>
        <v/>
      </c>
      <c r="J170" s="68">
        <f>IF(A170="","",A170+ROW()/100000)</f>
        <v/>
      </c>
    </row>
    <row r="171">
      <c r="A171" s="65" t="n"/>
      <c r="B171" s="58" t="n"/>
      <c r="C171" s="58" t="n"/>
      <c r="D171" s="66">
        <f>IF(C171="","",IFERROR(INDEX('Produtos'!$B$5:$B$204,MATCH(C171,'Produtos'!$A$5:$A$204,0)),"Código não cadastrado"))</f>
        <v/>
      </c>
      <c r="E171" s="58" t="n"/>
      <c r="F171" s="61" t="n"/>
      <c r="G171" s="59" t="n"/>
      <c r="H171" s="59" t="n"/>
      <c r="I171" s="67">
        <f>IF(OR(A171="",C171=""),"",IFERROR(INDEX('Produtos'!$F$5:$F$204,MATCH(C171,'Produtos'!$A$5:$A$204,0))+SUMIFS($F$5:$F$1004,$C$5:$C$1004,C171,$E$5:$E$1004,"Entrada",$A$5:$A$1004,"&lt;="&amp;A171)-SUMIFS($F$5:$F$1004,$C$5:$C$1004,C171,$E$5:$E$1004,"Saída",$A$5:$A$1004,"&lt;="&amp;A171),""))</f>
        <v/>
      </c>
      <c r="J171" s="68">
        <f>IF(A171="","",A171+ROW()/100000)</f>
        <v/>
      </c>
    </row>
    <row r="172">
      <c r="A172" s="65" t="n"/>
      <c r="B172" s="58" t="n"/>
      <c r="C172" s="58" t="n"/>
      <c r="D172" s="66">
        <f>IF(C172="","",IFERROR(INDEX('Produtos'!$B$5:$B$204,MATCH(C172,'Produtos'!$A$5:$A$204,0)),"Código não cadastrado"))</f>
        <v/>
      </c>
      <c r="E172" s="58" t="n"/>
      <c r="F172" s="61" t="n"/>
      <c r="G172" s="59" t="n"/>
      <c r="H172" s="59" t="n"/>
      <c r="I172" s="67">
        <f>IF(OR(A172="",C172=""),"",IFERROR(INDEX('Produtos'!$F$5:$F$204,MATCH(C172,'Produtos'!$A$5:$A$204,0))+SUMIFS($F$5:$F$1004,$C$5:$C$1004,C172,$E$5:$E$1004,"Entrada",$A$5:$A$1004,"&lt;="&amp;A172)-SUMIFS($F$5:$F$1004,$C$5:$C$1004,C172,$E$5:$E$1004,"Saída",$A$5:$A$1004,"&lt;="&amp;A172),""))</f>
        <v/>
      </c>
      <c r="J172" s="68">
        <f>IF(A172="","",A172+ROW()/100000)</f>
        <v/>
      </c>
    </row>
    <row r="173">
      <c r="A173" s="65" t="n"/>
      <c r="B173" s="58" t="n"/>
      <c r="C173" s="58" t="n"/>
      <c r="D173" s="66">
        <f>IF(C173="","",IFERROR(INDEX('Produtos'!$B$5:$B$204,MATCH(C173,'Produtos'!$A$5:$A$204,0)),"Código não cadastrado"))</f>
        <v/>
      </c>
      <c r="E173" s="58" t="n"/>
      <c r="F173" s="61" t="n"/>
      <c r="G173" s="59" t="n"/>
      <c r="H173" s="59" t="n"/>
      <c r="I173" s="67">
        <f>IF(OR(A173="",C173=""),"",IFERROR(INDEX('Produtos'!$F$5:$F$204,MATCH(C173,'Produtos'!$A$5:$A$204,0))+SUMIFS($F$5:$F$1004,$C$5:$C$1004,C173,$E$5:$E$1004,"Entrada",$A$5:$A$1004,"&lt;="&amp;A173)-SUMIFS($F$5:$F$1004,$C$5:$C$1004,C173,$E$5:$E$1004,"Saída",$A$5:$A$1004,"&lt;="&amp;A173),""))</f>
        <v/>
      </c>
      <c r="J173" s="68">
        <f>IF(A173="","",A173+ROW()/100000)</f>
        <v/>
      </c>
    </row>
    <row r="174">
      <c r="A174" s="65" t="n"/>
      <c r="B174" s="58" t="n"/>
      <c r="C174" s="58" t="n"/>
      <c r="D174" s="66">
        <f>IF(C174="","",IFERROR(INDEX('Produtos'!$B$5:$B$204,MATCH(C174,'Produtos'!$A$5:$A$204,0)),"Código não cadastrado"))</f>
        <v/>
      </c>
      <c r="E174" s="58" t="n"/>
      <c r="F174" s="61" t="n"/>
      <c r="G174" s="59" t="n"/>
      <c r="H174" s="59" t="n"/>
      <c r="I174" s="67">
        <f>IF(OR(A174="",C174=""),"",IFERROR(INDEX('Produtos'!$F$5:$F$204,MATCH(C174,'Produtos'!$A$5:$A$204,0))+SUMIFS($F$5:$F$1004,$C$5:$C$1004,C174,$E$5:$E$1004,"Entrada",$A$5:$A$1004,"&lt;="&amp;A174)-SUMIFS($F$5:$F$1004,$C$5:$C$1004,C174,$E$5:$E$1004,"Saída",$A$5:$A$1004,"&lt;="&amp;A174),""))</f>
        <v/>
      </c>
      <c r="J174" s="68">
        <f>IF(A174="","",A174+ROW()/100000)</f>
        <v/>
      </c>
    </row>
    <row r="175">
      <c r="A175" s="65" t="n"/>
      <c r="B175" s="58" t="n"/>
      <c r="C175" s="58" t="n"/>
      <c r="D175" s="66">
        <f>IF(C175="","",IFERROR(INDEX('Produtos'!$B$5:$B$204,MATCH(C175,'Produtos'!$A$5:$A$204,0)),"Código não cadastrado"))</f>
        <v/>
      </c>
      <c r="E175" s="58" t="n"/>
      <c r="F175" s="61" t="n"/>
      <c r="G175" s="59" t="n"/>
      <c r="H175" s="59" t="n"/>
      <c r="I175" s="67">
        <f>IF(OR(A175="",C175=""),"",IFERROR(INDEX('Produtos'!$F$5:$F$204,MATCH(C175,'Produtos'!$A$5:$A$204,0))+SUMIFS($F$5:$F$1004,$C$5:$C$1004,C175,$E$5:$E$1004,"Entrada",$A$5:$A$1004,"&lt;="&amp;A175)-SUMIFS($F$5:$F$1004,$C$5:$C$1004,C175,$E$5:$E$1004,"Saída",$A$5:$A$1004,"&lt;="&amp;A175),""))</f>
        <v/>
      </c>
      <c r="J175" s="68">
        <f>IF(A175="","",A175+ROW()/100000)</f>
        <v/>
      </c>
    </row>
    <row r="176">
      <c r="A176" s="65" t="n"/>
      <c r="B176" s="58" t="n"/>
      <c r="C176" s="58" t="n"/>
      <c r="D176" s="66">
        <f>IF(C176="","",IFERROR(INDEX('Produtos'!$B$5:$B$204,MATCH(C176,'Produtos'!$A$5:$A$204,0)),"Código não cadastrado"))</f>
        <v/>
      </c>
      <c r="E176" s="58" t="n"/>
      <c r="F176" s="61" t="n"/>
      <c r="G176" s="59" t="n"/>
      <c r="H176" s="59" t="n"/>
      <c r="I176" s="67">
        <f>IF(OR(A176="",C176=""),"",IFERROR(INDEX('Produtos'!$F$5:$F$204,MATCH(C176,'Produtos'!$A$5:$A$204,0))+SUMIFS($F$5:$F$1004,$C$5:$C$1004,C176,$E$5:$E$1004,"Entrada",$A$5:$A$1004,"&lt;="&amp;A176)-SUMIFS($F$5:$F$1004,$C$5:$C$1004,C176,$E$5:$E$1004,"Saída",$A$5:$A$1004,"&lt;="&amp;A176),""))</f>
        <v/>
      </c>
      <c r="J176" s="68">
        <f>IF(A176="","",A176+ROW()/100000)</f>
        <v/>
      </c>
    </row>
    <row r="177">
      <c r="A177" s="65" t="n"/>
      <c r="B177" s="58" t="n"/>
      <c r="C177" s="58" t="n"/>
      <c r="D177" s="66">
        <f>IF(C177="","",IFERROR(INDEX('Produtos'!$B$5:$B$204,MATCH(C177,'Produtos'!$A$5:$A$204,0)),"Código não cadastrado"))</f>
        <v/>
      </c>
      <c r="E177" s="58" t="n"/>
      <c r="F177" s="61" t="n"/>
      <c r="G177" s="59" t="n"/>
      <c r="H177" s="59" t="n"/>
      <c r="I177" s="67">
        <f>IF(OR(A177="",C177=""),"",IFERROR(INDEX('Produtos'!$F$5:$F$204,MATCH(C177,'Produtos'!$A$5:$A$204,0))+SUMIFS($F$5:$F$1004,$C$5:$C$1004,C177,$E$5:$E$1004,"Entrada",$A$5:$A$1004,"&lt;="&amp;A177)-SUMIFS($F$5:$F$1004,$C$5:$C$1004,C177,$E$5:$E$1004,"Saída",$A$5:$A$1004,"&lt;="&amp;A177),""))</f>
        <v/>
      </c>
      <c r="J177" s="68">
        <f>IF(A177="","",A177+ROW()/100000)</f>
        <v/>
      </c>
    </row>
    <row r="178">
      <c r="A178" s="65" t="n"/>
      <c r="B178" s="58" t="n"/>
      <c r="C178" s="58" t="n"/>
      <c r="D178" s="66">
        <f>IF(C178="","",IFERROR(INDEX('Produtos'!$B$5:$B$204,MATCH(C178,'Produtos'!$A$5:$A$204,0)),"Código não cadastrado"))</f>
        <v/>
      </c>
      <c r="E178" s="58" t="n"/>
      <c r="F178" s="61" t="n"/>
      <c r="G178" s="59" t="n"/>
      <c r="H178" s="59" t="n"/>
      <c r="I178" s="67">
        <f>IF(OR(A178="",C178=""),"",IFERROR(INDEX('Produtos'!$F$5:$F$204,MATCH(C178,'Produtos'!$A$5:$A$204,0))+SUMIFS($F$5:$F$1004,$C$5:$C$1004,C178,$E$5:$E$1004,"Entrada",$A$5:$A$1004,"&lt;="&amp;A178)-SUMIFS($F$5:$F$1004,$C$5:$C$1004,C178,$E$5:$E$1004,"Saída",$A$5:$A$1004,"&lt;="&amp;A178),""))</f>
        <v/>
      </c>
      <c r="J178" s="68">
        <f>IF(A178="","",A178+ROW()/100000)</f>
        <v/>
      </c>
    </row>
    <row r="179">
      <c r="A179" s="65" t="n"/>
      <c r="B179" s="58" t="n"/>
      <c r="C179" s="58" t="n"/>
      <c r="D179" s="66">
        <f>IF(C179="","",IFERROR(INDEX('Produtos'!$B$5:$B$204,MATCH(C179,'Produtos'!$A$5:$A$204,0)),"Código não cadastrado"))</f>
        <v/>
      </c>
      <c r="E179" s="58" t="n"/>
      <c r="F179" s="61" t="n"/>
      <c r="G179" s="59" t="n"/>
      <c r="H179" s="59" t="n"/>
      <c r="I179" s="67">
        <f>IF(OR(A179="",C179=""),"",IFERROR(INDEX('Produtos'!$F$5:$F$204,MATCH(C179,'Produtos'!$A$5:$A$204,0))+SUMIFS($F$5:$F$1004,$C$5:$C$1004,C179,$E$5:$E$1004,"Entrada",$A$5:$A$1004,"&lt;="&amp;A179)-SUMIFS($F$5:$F$1004,$C$5:$C$1004,C179,$E$5:$E$1004,"Saída",$A$5:$A$1004,"&lt;="&amp;A179),""))</f>
        <v/>
      </c>
      <c r="J179" s="68">
        <f>IF(A179="","",A179+ROW()/100000)</f>
        <v/>
      </c>
    </row>
    <row r="180">
      <c r="A180" s="65" t="n"/>
      <c r="B180" s="58" t="n"/>
      <c r="C180" s="58" t="n"/>
      <c r="D180" s="66">
        <f>IF(C180="","",IFERROR(INDEX('Produtos'!$B$5:$B$204,MATCH(C180,'Produtos'!$A$5:$A$204,0)),"Código não cadastrado"))</f>
        <v/>
      </c>
      <c r="E180" s="58" t="n"/>
      <c r="F180" s="61" t="n"/>
      <c r="G180" s="59" t="n"/>
      <c r="H180" s="59" t="n"/>
      <c r="I180" s="67">
        <f>IF(OR(A180="",C180=""),"",IFERROR(INDEX('Produtos'!$F$5:$F$204,MATCH(C180,'Produtos'!$A$5:$A$204,0))+SUMIFS($F$5:$F$1004,$C$5:$C$1004,C180,$E$5:$E$1004,"Entrada",$A$5:$A$1004,"&lt;="&amp;A180)-SUMIFS($F$5:$F$1004,$C$5:$C$1004,C180,$E$5:$E$1004,"Saída",$A$5:$A$1004,"&lt;="&amp;A180),""))</f>
        <v/>
      </c>
      <c r="J180" s="68">
        <f>IF(A180="","",A180+ROW()/100000)</f>
        <v/>
      </c>
    </row>
    <row r="181">
      <c r="A181" s="65" t="n"/>
      <c r="B181" s="58" t="n"/>
      <c r="C181" s="58" t="n"/>
      <c r="D181" s="66">
        <f>IF(C181="","",IFERROR(INDEX('Produtos'!$B$5:$B$204,MATCH(C181,'Produtos'!$A$5:$A$204,0)),"Código não cadastrado"))</f>
        <v/>
      </c>
      <c r="E181" s="58" t="n"/>
      <c r="F181" s="61" t="n"/>
      <c r="G181" s="59" t="n"/>
      <c r="H181" s="59" t="n"/>
      <c r="I181" s="67">
        <f>IF(OR(A181="",C181=""),"",IFERROR(INDEX('Produtos'!$F$5:$F$204,MATCH(C181,'Produtos'!$A$5:$A$204,0))+SUMIFS($F$5:$F$1004,$C$5:$C$1004,C181,$E$5:$E$1004,"Entrada",$A$5:$A$1004,"&lt;="&amp;A181)-SUMIFS($F$5:$F$1004,$C$5:$C$1004,C181,$E$5:$E$1004,"Saída",$A$5:$A$1004,"&lt;="&amp;A181),""))</f>
        <v/>
      </c>
      <c r="J181" s="68">
        <f>IF(A181="","",A181+ROW()/100000)</f>
        <v/>
      </c>
    </row>
    <row r="182">
      <c r="A182" s="65" t="n"/>
      <c r="B182" s="58" t="n"/>
      <c r="C182" s="58" t="n"/>
      <c r="D182" s="66">
        <f>IF(C182="","",IFERROR(INDEX('Produtos'!$B$5:$B$204,MATCH(C182,'Produtos'!$A$5:$A$204,0)),"Código não cadastrado"))</f>
        <v/>
      </c>
      <c r="E182" s="58" t="n"/>
      <c r="F182" s="61" t="n"/>
      <c r="G182" s="59" t="n"/>
      <c r="H182" s="59" t="n"/>
      <c r="I182" s="67">
        <f>IF(OR(A182="",C182=""),"",IFERROR(INDEX('Produtos'!$F$5:$F$204,MATCH(C182,'Produtos'!$A$5:$A$204,0))+SUMIFS($F$5:$F$1004,$C$5:$C$1004,C182,$E$5:$E$1004,"Entrada",$A$5:$A$1004,"&lt;="&amp;A182)-SUMIFS($F$5:$F$1004,$C$5:$C$1004,C182,$E$5:$E$1004,"Saída",$A$5:$A$1004,"&lt;="&amp;A182),""))</f>
        <v/>
      </c>
      <c r="J182" s="68">
        <f>IF(A182="","",A182+ROW()/100000)</f>
        <v/>
      </c>
    </row>
    <row r="183">
      <c r="A183" s="65" t="n"/>
      <c r="B183" s="58" t="n"/>
      <c r="C183" s="58" t="n"/>
      <c r="D183" s="66">
        <f>IF(C183="","",IFERROR(INDEX('Produtos'!$B$5:$B$204,MATCH(C183,'Produtos'!$A$5:$A$204,0)),"Código não cadastrado"))</f>
        <v/>
      </c>
      <c r="E183" s="58" t="n"/>
      <c r="F183" s="61" t="n"/>
      <c r="G183" s="59" t="n"/>
      <c r="H183" s="59" t="n"/>
      <c r="I183" s="67">
        <f>IF(OR(A183="",C183=""),"",IFERROR(INDEX('Produtos'!$F$5:$F$204,MATCH(C183,'Produtos'!$A$5:$A$204,0))+SUMIFS($F$5:$F$1004,$C$5:$C$1004,C183,$E$5:$E$1004,"Entrada",$A$5:$A$1004,"&lt;="&amp;A183)-SUMIFS($F$5:$F$1004,$C$5:$C$1004,C183,$E$5:$E$1004,"Saída",$A$5:$A$1004,"&lt;="&amp;A183),""))</f>
        <v/>
      </c>
      <c r="J183" s="68">
        <f>IF(A183="","",A183+ROW()/100000)</f>
        <v/>
      </c>
    </row>
    <row r="184">
      <c r="A184" s="65" t="n"/>
      <c r="B184" s="58" t="n"/>
      <c r="C184" s="58" t="n"/>
      <c r="D184" s="66">
        <f>IF(C184="","",IFERROR(INDEX('Produtos'!$B$5:$B$204,MATCH(C184,'Produtos'!$A$5:$A$204,0)),"Código não cadastrado"))</f>
        <v/>
      </c>
      <c r="E184" s="58" t="n"/>
      <c r="F184" s="61" t="n"/>
      <c r="G184" s="59" t="n"/>
      <c r="H184" s="59" t="n"/>
      <c r="I184" s="67">
        <f>IF(OR(A184="",C184=""),"",IFERROR(INDEX('Produtos'!$F$5:$F$204,MATCH(C184,'Produtos'!$A$5:$A$204,0))+SUMIFS($F$5:$F$1004,$C$5:$C$1004,C184,$E$5:$E$1004,"Entrada",$A$5:$A$1004,"&lt;="&amp;A184)-SUMIFS($F$5:$F$1004,$C$5:$C$1004,C184,$E$5:$E$1004,"Saída",$A$5:$A$1004,"&lt;="&amp;A184),""))</f>
        <v/>
      </c>
      <c r="J184" s="68">
        <f>IF(A184="","",A184+ROW()/100000)</f>
        <v/>
      </c>
    </row>
    <row r="185">
      <c r="A185" s="65" t="n"/>
      <c r="B185" s="58" t="n"/>
      <c r="C185" s="58" t="n"/>
      <c r="D185" s="66">
        <f>IF(C185="","",IFERROR(INDEX('Produtos'!$B$5:$B$204,MATCH(C185,'Produtos'!$A$5:$A$204,0)),"Código não cadastrado"))</f>
        <v/>
      </c>
      <c r="E185" s="58" t="n"/>
      <c r="F185" s="61" t="n"/>
      <c r="G185" s="59" t="n"/>
      <c r="H185" s="59" t="n"/>
      <c r="I185" s="67">
        <f>IF(OR(A185="",C185=""),"",IFERROR(INDEX('Produtos'!$F$5:$F$204,MATCH(C185,'Produtos'!$A$5:$A$204,0))+SUMIFS($F$5:$F$1004,$C$5:$C$1004,C185,$E$5:$E$1004,"Entrada",$A$5:$A$1004,"&lt;="&amp;A185)-SUMIFS($F$5:$F$1004,$C$5:$C$1004,C185,$E$5:$E$1004,"Saída",$A$5:$A$1004,"&lt;="&amp;A185),""))</f>
        <v/>
      </c>
      <c r="J185" s="68">
        <f>IF(A185="","",A185+ROW()/100000)</f>
        <v/>
      </c>
    </row>
    <row r="186">
      <c r="A186" s="65" t="n"/>
      <c r="B186" s="58" t="n"/>
      <c r="C186" s="58" t="n"/>
      <c r="D186" s="66">
        <f>IF(C186="","",IFERROR(INDEX('Produtos'!$B$5:$B$204,MATCH(C186,'Produtos'!$A$5:$A$204,0)),"Código não cadastrado"))</f>
        <v/>
      </c>
      <c r="E186" s="58" t="n"/>
      <c r="F186" s="61" t="n"/>
      <c r="G186" s="59" t="n"/>
      <c r="H186" s="59" t="n"/>
      <c r="I186" s="67">
        <f>IF(OR(A186="",C186=""),"",IFERROR(INDEX('Produtos'!$F$5:$F$204,MATCH(C186,'Produtos'!$A$5:$A$204,0))+SUMIFS($F$5:$F$1004,$C$5:$C$1004,C186,$E$5:$E$1004,"Entrada",$A$5:$A$1004,"&lt;="&amp;A186)-SUMIFS($F$5:$F$1004,$C$5:$C$1004,C186,$E$5:$E$1004,"Saída",$A$5:$A$1004,"&lt;="&amp;A186),""))</f>
        <v/>
      </c>
      <c r="J186" s="68">
        <f>IF(A186="","",A186+ROW()/100000)</f>
        <v/>
      </c>
    </row>
    <row r="187">
      <c r="A187" s="65" t="n"/>
      <c r="B187" s="58" t="n"/>
      <c r="C187" s="58" t="n"/>
      <c r="D187" s="66">
        <f>IF(C187="","",IFERROR(INDEX('Produtos'!$B$5:$B$204,MATCH(C187,'Produtos'!$A$5:$A$204,0)),"Código não cadastrado"))</f>
        <v/>
      </c>
      <c r="E187" s="58" t="n"/>
      <c r="F187" s="61" t="n"/>
      <c r="G187" s="59" t="n"/>
      <c r="H187" s="59" t="n"/>
      <c r="I187" s="67">
        <f>IF(OR(A187="",C187=""),"",IFERROR(INDEX('Produtos'!$F$5:$F$204,MATCH(C187,'Produtos'!$A$5:$A$204,0))+SUMIFS($F$5:$F$1004,$C$5:$C$1004,C187,$E$5:$E$1004,"Entrada",$A$5:$A$1004,"&lt;="&amp;A187)-SUMIFS($F$5:$F$1004,$C$5:$C$1004,C187,$E$5:$E$1004,"Saída",$A$5:$A$1004,"&lt;="&amp;A187),""))</f>
        <v/>
      </c>
      <c r="J187" s="68">
        <f>IF(A187="","",A187+ROW()/100000)</f>
        <v/>
      </c>
    </row>
    <row r="188">
      <c r="A188" s="65" t="n"/>
      <c r="B188" s="58" t="n"/>
      <c r="C188" s="58" t="n"/>
      <c r="D188" s="66">
        <f>IF(C188="","",IFERROR(INDEX('Produtos'!$B$5:$B$204,MATCH(C188,'Produtos'!$A$5:$A$204,0)),"Código não cadastrado"))</f>
        <v/>
      </c>
      <c r="E188" s="58" t="n"/>
      <c r="F188" s="61" t="n"/>
      <c r="G188" s="59" t="n"/>
      <c r="H188" s="59" t="n"/>
      <c r="I188" s="67">
        <f>IF(OR(A188="",C188=""),"",IFERROR(INDEX('Produtos'!$F$5:$F$204,MATCH(C188,'Produtos'!$A$5:$A$204,0))+SUMIFS($F$5:$F$1004,$C$5:$C$1004,C188,$E$5:$E$1004,"Entrada",$A$5:$A$1004,"&lt;="&amp;A188)-SUMIFS($F$5:$F$1004,$C$5:$C$1004,C188,$E$5:$E$1004,"Saída",$A$5:$A$1004,"&lt;="&amp;A188),""))</f>
        <v/>
      </c>
      <c r="J188" s="68">
        <f>IF(A188="","",A188+ROW()/100000)</f>
        <v/>
      </c>
    </row>
    <row r="189">
      <c r="A189" s="65" t="n"/>
      <c r="B189" s="58" t="n"/>
      <c r="C189" s="58" t="n"/>
      <c r="D189" s="66">
        <f>IF(C189="","",IFERROR(INDEX('Produtos'!$B$5:$B$204,MATCH(C189,'Produtos'!$A$5:$A$204,0)),"Código não cadastrado"))</f>
        <v/>
      </c>
      <c r="E189" s="58" t="n"/>
      <c r="F189" s="61" t="n"/>
      <c r="G189" s="59" t="n"/>
      <c r="H189" s="59" t="n"/>
      <c r="I189" s="67">
        <f>IF(OR(A189="",C189=""),"",IFERROR(INDEX('Produtos'!$F$5:$F$204,MATCH(C189,'Produtos'!$A$5:$A$204,0))+SUMIFS($F$5:$F$1004,$C$5:$C$1004,C189,$E$5:$E$1004,"Entrada",$A$5:$A$1004,"&lt;="&amp;A189)-SUMIFS($F$5:$F$1004,$C$5:$C$1004,C189,$E$5:$E$1004,"Saída",$A$5:$A$1004,"&lt;="&amp;A189),""))</f>
        <v/>
      </c>
      <c r="J189" s="68">
        <f>IF(A189="","",A189+ROW()/100000)</f>
        <v/>
      </c>
    </row>
    <row r="190">
      <c r="A190" s="65" t="n"/>
      <c r="B190" s="58" t="n"/>
      <c r="C190" s="58" t="n"/>
      <c r="D190" s="66">
        <f>IF(C190="","",IFERROR(INDEX('Produtos'!$B$5:$B$204,MATCH(C190,'Produtos'!$A$5:$A$204,0)),"Código não cadastrado"))</f>
        <v/>
      </c>
      <c r="E190" s="58" t="n"/>
      <c r="F190" s="61" t="n"/>
      <c r="G190" s="59" t="n"/>
      <c r="H190" s="59" t="n"/>
      <c r="I190" s="67">
        <f>IF(OR(A190="",C190=""),"",IFERROR(INDEX('Produtos'!$F$5:$F$204,MATCH(C190,'Produtos'!$A$5:$A$204,0))+SUMIFS($F$5:$F$1004,$C$5:$C$1004,C190,$E$5:$E$1004,"Entrada",$A$5:$A$1004,"&lt;="&amp;A190)-SUMIFS($F$5:$F$1004,$C$5:$C$1004,C190,$E$5:$E$1004,"Saída",$A$5:$A$1004,"&lt;="&amp;A190),""))</f>
        <v/>
      </c>
      <c r="J190" s="68">
        <f>IF(A190="","",A190+ROW()/100000)</f>
        <v/>
      </c>
    </row>
    <row r="191">
      <c r="A191" s="65" t="n"/>
      <c r="B191" s="58" t="n"/>
      <c r="C191" s="58" t="n"/>
      <c r="D191" s="66">
        <f>IF(C191="","",IFERROR(INDEX('Produtos'!$B$5:$B$204,MATCH(C191,'Produtos'!$A$5:$A$204,0)),"Código não cadastrado"))</f>
        <v/>
      </c>
      <c r="E191" s="58" t="n"/>
      <c r="F191" s="61" t="n"/>
      <c r="G191" s="59" t="n"/>
      <c r="H191" s="59" t="n"/>
      <c r="I191" s="67">
        <f>IF(OR(A191="",C191=""),"",IFERROR(INDEX('Produtos'!$F$5:$F$204,MATCH(C191,'Produtos'!$A$5:$A$204,0))+SUMIFS($F$5:$F$1004,$C$5:$C$1004,C191,$E$5:$E$1004,"Entrada",$A$5:$A$1004,"&lt;="&amp;A191)-SUMIFS($F$5:$F$1004,$C$5:$C$1004,C191,$E$5:$E$1004,"Saída",$A$5:$A$1004,"&lt;="&amp;A191),""))</f>
        <v/>
      </c>
      <c r="J191" s="68">
        <f>IF(A191="","",A191+ROW()/100000)</f>
        <v/>
      </c>
    </row>
    <row r="192">
      <c r="A192" s="65" t="n"/>
      <c r="B192" s="58" t="n"/>
      <c r="C192" s="58" t="n"/>
      <c r="D192" s="66">
        <f>IF(C192="","",IFERROR(INDEX('Produtos'!$B$5:$B$204,MATCH(C192,'Produtos'!$A$5:$A$204,0)),"Código não cadastrado"))</f>
        <v/>
      </c>
      <c r="E192" s="58" t="n"/>
      <c r="F192" s="61" t="n"/>
      <c r="G192" s="59" t="n"/>
      <c r="H192" s="59" t="n"/>
      <c r="I192" s="67">
        <f>IF(OR(A192="",C192=""),"",IFERROR(INDEX('Produtos'!$F$5:$F$204,MATCH(C192,'Produtos'!$A$5:$A$204,0))+SUMIFS($F$5:$F$1004,$C$5:$C$1004,C192,$E$5:$E$1004,"Entrada",$A$5:$A$1004,"&lt;="&amp;A192)-SUMIFS($F$5:$F$1004,$C$5:$C$1004,C192,$E$5:$E$1004,"Saída",$A$5:$A$1004,"&lt;="&amp;A192),""))</f>
        <v/>
      </c>
      <c r="J192" s="68">
        <f>IF(A192="","",A192+ROW()/100000)</f>
        <v/>
      </c>
    </row>
    <row r="193">
      <c r="A193" s="65" t="n"/>
      <c r="B193" s="58" t="n"/>
      <c r="C193" s="58" t="n"/>
      <c r="D193" s="66">
        <f>IF(C193="","",IFERROR(INDEX('Produtos'!$B$5:$B$204,MATCH(C193,'Produtos'!$A$5:$A$204,0)),"Código não cadastrado"))</f>
        <v/>
      </c>
      <c r="E193" s="58" t="n"/>
      <c r="F193" s="61" t="n"/>
      <c r="G193" s="59" t="n"/>
      <c r="H193" s="59" t="n"/>
      <c r="I193" s="67">
        <f>IF(OR(A193="",C193=""),"",IFERROR(INDEX('Produtos'!$F$5:$F$204,MATCH(C193,'Produtos'!$A$5:$A$204,0))+SUMIFS($F$5:$F$1004,$C$5:$C$1004,C193,$E$5:$E$1004,"Entrada",$A$5:$A$1004,"&lt;="&amp;A193)-SUMIFS($F$5:$F$1004,$C$5:$C$1004,C193,$E$5:$E$1004,"Saída",$A$5:$A$1004,"&lt;="&amp;A193),""))</f>
        <v/>
      </c>
      <c r="J193" s="68">
        <f>IF(A193="","",A193+ROW()/100000)</f>
        <v/>
      </c>
    </row>
    <row r="194">
      <c r="A194" s="65" t="n"/>
      <c r="B194" s="58" t="n"/>
      <c r="C194" s="58" t="n"/>
      <c r="D194" s="66">
        <f>IF(C194="","",IFERROR(INDEX('Produtos'!$B$5:$B$204,MATCH(C194,'Produtos'!$A$5:$A$204,0)),"Código não cadastrado"))</f>
        <v/>
      </c>
      <c r="E194" s="58" t="n"/>
      <c r="F194" s="61" t="n"/>
      <c r="G194" s="59" t="n"/>
      <c r="H194" s="59" t="n"/>
      <c r="I194" s="67">
        <f>IF(OR(A194="",C194=""),"",IFERROR(INDEX('Produtos'!$F$5:$F$204,MATCH(C194,'Produtos'!$A$5:$A$204,0))+SUMIFS($F$5:$F$1004,$C$5:$C$1004,C194,$E$5:$E$1004,"Entrada",$A$5:$A$1004,"&lt;="&amp;A194)-SUMIFS($F$5:$F$1004,$C$5:$C$1004,C194,$E$5:$E$1004,"Saída",$A$5:$A$1004,"&lt;="&amp;A194),""))</f>
        <v/>
      </c>
      <c r="J194" s="68">
        <f>IF(A194="","",A194+ROW()/100000)</f>
        <v/>
      </c>
    </row>
    <row r="195">
      <c r="A195" s="65" t="n"/>
      <c r="B195" s="58" t="n"/>
      <c r="C195" s="58" t="n"/>
      <c r="D195" s="66">
        <f>IF(C195="","",IFERROR(INDEX('Produtos'!$B$5:$B$204,MATCH(C195,'Produtos'!$A$5:$A$204,0)),"Código não cadastrado"))</f>
        <v/>
      </c>
      <c r="E195" s="58" t="n"/>
      <c r="F195" s="61" t="n"/>
      <c r="G195" s="59" t="n"/>
      <c r="H195" s="59" t="n"/>
      <c r="I195" s="67">
        <f>IF(OR(A195="",C195=""),"",IFERROR(INDEX('Produtos'!$F$5:$F$204,MATCH(C195,'Produtos'!$A$5:$A$204,0))+SUMIFS($F$5:$F$1004,$C$5:$C$1004,C195,$E$5:$E$1004,"Entrada",$A$5:$A$1004,"&lt;="&amp;A195)-SUMIFS($F$5:$F$1004,$C$5:$C$1004,C195,$E$5:$E$1004,"Saída",$A$5:$A$1004,"&lt;="&amp;A195),""))</f>
        <v/>
      </c>
      <c r="J195" s="68">
        <f>IF(A195="","",A195+ROW()/100000)</f>
        <v/>
      </c>
    </row>
    <row r="196">
      <c r="A196" s="65" t="n"/>
      <c r="B196" s="58" t="n"/>
      <c r="C196" s="58" t="n"/>
      <c r="D196" s="66">
        <f>IF(C196="","",IFERROR(INDEX('Produtos'!$B$5:$B$204,MATCH(C196,'Produtos'!$A$5:$A$204,0)),"Código não cadastrado"))</f>
        <v/>
      </c>
      <c r="E196" s="58" t="n"/>
      <c r="F196" s="61" t="n"/>
      <c r="G196" s="59" t="n"/>
      <c r="H196" s="59" t="n"/>
      <c r="I196" s="67">
        <f>IF(OR(A196="",C196=""),"",IFERROR(INDEX('Produtos'!$F$5:$F$204,MATCH(C196,'Produtos'!$A$5:$A$204,0))+SUMIFS($F$5:$F$1004,$C$5:$C$1004,C196,$E$5:$E$1004,"Entrada",$A$5:$A$1004,"&lt;="&amp;A196)-SUMIFS($F$5:$F$1004,$C$5:$C$1004,C196,$E$5:$E$1004,"Saída",$A$5:$A$1004,"&lt;="&amp;A196),""))</f>
        <v/>
      </c>
      <c r="J196" s="68">
        <f>IF(A196="","",A196+ROW()/100000)</f>
        <v/>
      </c>
    </row>
    <row r="197">
      <c r="A197" s="65" t="n"/>
      <c r="B197" s="58" t="n"/>
      <c r="C197" s="58" t="n"/>
      <c r="D197" s="66">
        <f>IF(C197="","",IFERROR(INDEX('Produtos'!$B$5:$B$204,MATCH(C197,'Produtos'!$A$5:$A$204,0)),"Código não cadastrado"))</f>
        <v/>
      </c>
      <c r="E197" s="58" t="n"/>
      <c r="F197" s="61" t="n"/>
      <c r="G197" s="59" t="n"/>
      <c r="H197" s="59" t="n"/>
      <c r="I197" s="67">
        <f>IF(OR(A197="",C197=""),"",IFERROR(INDEX('Produtos'!$F$5:$F$204,MATCH(C197,'Produtos'!$A$5:$A$204,0))+SUMIFS($F$5:$F$1004,$C$5:$C$1004,C197,$E$5:$E$1004,"Entrada",$A$5:$A$1004,"&lt;="&amp;A197)-SUMIFS($F$5:$F$1004,$C$5:$C$1004,C197,$E$5:$E$1004,"Saída",$A$5:$A$1004,"&lt;="&amp;A197),""))</f>
        <v/>
      </c>
      <c r="J197" s="68">
        <f>IF(A197="","",A197+ROW()/100000)</f>
        <v/>
      </c>
    </row>
    <row r="198">
      <c r="A198" s="65" t="n"/>
      <c r="B198" s="58" t="n"/>
      <c r="C198" s="58" t="n"/>
      <c r="D198" s="66">
        <f>IF(C198="","",IFERROR(INDEX('Produtos'!$B$5:$B$204,MATCH(C198,'Produtos'!$A$5:$A$204,0)),"Código não cadastrado"))</f>
        <v/>
      </c>
      <c r="E198" s="58" t="n"/>
      <c r="F198" s="61" t="n"/>
      <c r="G198" s="59" t="n"/>
      <c r="H198" s="59" t="n"/>
      <c r="I198" s="67">
        <f>IF(OR(A198="",C198=""),"",IFERROR(INDEX('Produtos'!$F$5:$F$204,MATCH(C198,'Produtos'!$A$5:$A$204,0))+SUMIFS($F$5:$F$1004,$C$5:$C$1004,C198,$E$5:$E$1004,"Entrada",$A$5:$A$1004,"&lt;="&amp;A198)-SUMIFS($F$5:$F$1004,$C$5:$C$1004,C198,$E$5:$E$1004,"Saída",$A$5:$A$1004,"&lt;="&amp;A198),""))</f>
        <v/>
      </c>
      <c r="J198" s="68">
        <f>IF(A198="","",A198+ROW()/100000)</f>
        <v/>
      </c>
    </row>
    <row r="199">
      <c r="A199" s="65" t="n"/>
      <c r="B199" s="58" t="n"/>
      <c r="C199" s="58" t="n"/>
      <c r="D199" s="66">
        <f>IF(C199="","",IFERROR(INDEX('Produtos'!$B$5:$B$204,MATCH(C199,'Produtos'!$A$5:$A$204,0)),"Código não cadastrado"))</f>
        <v/>
      </c>
      <c r="E199" s="58" t="n"/>
      <c r="F199" s="61" t="n"/>
      <c r="G199" s="59" t="n"/>
      <c r="H199" s="59" t="n"/>
      <c r="I199" s="67">
        <f>IF(OR(A199="",C199=""),"",IFERROR(INDEX('Produtos'!$F$5:$F$204,MATCH(C199,'Produtos'!$A$5:$A$204,0))+SUMIFS($F$5:$F$1004,$C$5:$C$1004,C199,$E$5:$E$1004,"Entrada",$A$5:$A$1004,"&lt;="&amp;A199)-SUMIFS($F$5:$F$1004,$C$5:$C$1004,C199,$E$5:$E$1004,"Saída",$A$5:$A$1004,"&lt;="&amp;A199),""))</f>
        <v/>
      </c>
      <c r="J199" s="68">
        <f>IF(A199="","",A199+ROW()/100000)</f>
        <v/>
      </c>
    </row>
    <row r="200">
      <c r="A200" s="65" t="n"/>
      <c r="B200" s="58" t="n"/>
      <c r="C200" s="58" t="n"/>
      <c r="D200" s="66">
        <f>IF(C200="","",IFERROR(INDEX('Produtos'!$B$5:$B$204,MATCH(C200,'Produtos'!$A$5:$A$204,0)),"Código não cadastrado"))</f>
        <v/>
      </c>
      <c r="E200" s="58" t="n"/>
      <c r="F200" s="61" t="n"/>
      <c r="G200" s="59" t="n"/>
      <c r="H200" s="59" t="n"/>
      <c r="I200" s="67">
        <f>IF(OR(A200="",C200=""),"",IFERROR(INDEX('Produtos'!$F$5:$F$204,MATCH(C200,'Produtos'!$A$5:$A$204,0))+SUMIFS($F$5:$F$1004,$C$5:$C$1004,C200,$E$5:$E$1004,"Entrada",$A$5:$A$1004,"&lt;="&amp;A200)-SUMIFS($F$5:$F$1004,$C$5:$C$1004,C200,$E$5:$E$1004,"Saída",$A$5:$A$1004,"&lt;="&amp;A200),""))</f>
        <v/>
      </c>
      <c r="J200" s="68">
        <f>IF(A200="","",A200+ROW()/100000)</f>
        <v/>
      </c>
    </row>
    <row r="201">
      <c r="A201" s="65" t="n"/>
      <c r="B201" s="58" t="n"/>
      <c r="C201" s="58" t="n"/>
      <c r="D201" s="66">
        <f>IF(C201="","",IFERROR(INDEX('Produtos'!$B$5:$B$204,MATCH(C201,'Produtos'!$A$5:$A$204,0)),"Código não cadastrado"))</f>
        <v/>
      </c>
      <c r="E201" s="58" t="n"/>
      <c r="F201" s="61" t="n"/>
      <c r="G201" s="59" t="n"/>
      <c r="H201" s="59" t="n"/>
      <c r="I201" s="67">
        <f>IF(OR(A201="",C201=""),"",IFERROR(INDEX('Produtos'!$F$5:$F$204,MATCH(C201,'Produtos'!$A$5:$A$204,0))+SUMIFS($F$5:$F$1004,$C$5:$C$1004,C201,$E$5:$E$1004,"Entrada",$A$5:$A$1004,"&lt;="&amp;A201)-SUMIFS($F$5:$F$1004,$C$5:$C$1004,C201,$E$5:$E$1004,"Saída",$A$5:$A$1004,"&lt;="&amp;A201),""))</f>
        <v/>
      </c>
      <c r="J201" s="68">
        <f>IF(A201="","",A201+ROW()/100000)</f>
        <v/>
      </c>
    </row>
    <row r="202">
      <c r="A202" s="65" t="n"/>
      <c r="B202" s="58" t="n"/>
      <c r="C202" s="58" t="n"/>
      <c r="D202" s="66">
        <f>IF(C202="","",IFERROR(INDEX('Produtos'!$B$5:$B$204,MATCH(C202,'Produtos'!$A$5:$A$204,0)),"Código não cadastrado"))</f>
        <v/>
      </c>
      <c r="E202" s="58" t="n"/>
      <c r="F202" s="61" t="n"/>
      <c r="G202" s="59" t="n"/>
      <c r="H202" s="59" t="n"/>
      <c r="I202" s="67">
        <f>IF(OR(A202="",C202=""),"",IFERROR(INDEX('Produtos'!$F$5:$F$204,MATCH(C202,'Produtos'!$A$5:$A$204,0))+SUMIFS($F$5:$F$1004,$C$5:$C$1004,C202,$E$5:$E$1004,"Entrada",$A$5:$A$1004,"&lt;="&amp;A202)-SUMIFS($F$5:$F$1004,$C$5:$C$1004,C202,$E$5:$E$1004,"Saída",$A$5:$A$1004,"&lt;="&amp;A202),""))</f>
        <v/>
      </c>
      <c r="J202" s="68">
        <f>IF(A202="","",A202+ROW()/100000)</f>
        <v/>
      </c>
    </row>
    <row r="203">
      <c r="A203" s="65" t="n"/>
      <c r="B203" s="58" t="n"/>
      <c r="C203" s="58" t="n"/>
      <c r="D203" s="66">
        <f>IF(C203="","",IFERROR(INDEX('Produtos'!$B$5:$B$204,MATCH(C203,'Produtos'!$A$5:$A$204,0)),"Código não cadastrado"))</f>
        <v/>
      </c>
      <c r="E203" s="58" t="n"/>
      <c r="F203" s="61" t="n"/>
      <c r="G203" s="59" t="n"/>
      <c r="H203" s="59" t="n"/>
      <c r="I203" s="67">
        <f>IF(OR(A203="",C203=""),"",IFERROR(INDEX('Produtos'!$F$5:$F$204,MATCH(C203,'Produtos'!$A$5:$A$204,0))+SUMIFS($F$5:$F$1004,$C$5:$C$1004,C203,$E$5:$E$1004,"Entrada",$A$5:$A$1004,"&lt;="&amp;A203)-SUMIFS($F$5:$F$1004,$C$5:$C$1004,C203,$E$5:$E$1004,"Saída",$A$5:$A$1004,"&lt;="&amp;A203),""))</f>
        <v/>
      </c>
      <c r="J203" s="68">
        <f>IF(A203="","",A203+ROW()/100000)</f>
        <v/>
      </c>
    </row>
    <row r="204">
      <c r="A204" s="65" t="n"/>
      <c r="B204" s="58" t="n"/>
      <c r="C204" s="58" t="n"/>
      <c r="D204" s="66">
        <f>IF(C204="","",IFERROR(INDEX('Produtos'!$B$5:$B$204,MATCH(C204,'Produtos'!$A$5:$A$204,0)),"Código não cadastrado"))</f>
        <v/>
      </c>
      <c r="E204" s="58" t="n"/>
      <c r="F204" s="61" t="n"/>
      <c r="G204" s="59" t="n"/>
      <c r="H204" s="59" t="n"/>
      <c r="I204" s="67">
        <f>IF(OR(A204="",C204=""),"",IFERROR(INDEX('Produtos'!$F$5:$F$204,MATCH(C204,'Produtos'!$A$5:$A$204,0))+SUMIFS($F$5:$F$1004,$C$5:$C$1004,C204,$E$5:$E$1004,"Entrada",$A$5:$A$1004,"&lt;="&amp;A204)-SUMIFS($F$5:$F$1004,$C$5:$C$1004,C204,$E$5:$E$1004,"Saída",$A$5:$A$1004,"&lt;="&amp;A204),""))</f>
        <v/>
      </c>
      <c r="J204" s="68">
        <f>IF(A204="","",A204+ROW()/100000)</f>
        <v/>
      </c>
    </row>
    <row r="205">
      <c r="A205" s="65" t="n"/>
      <c r="B205" s="58" t="n"/>
      <c r="C205" s="58" t="n"/>
      <c r="D205" s="66">
        <f>IF(C205="","",IFERROR(INDEX('Produtos'!$B$5:$B$204,MATCH(C205,'Produtos'!$A$5:$A$204,0)),"Código não cadastrado"))</f>
        <v/>
      </c>
      <c r="E205" s="58" t="n"/>
      <c r="F205" s="61" t="n"/>
      <c r="G205" s="59" t="n"/>
      <c r="H205" s="59" t="n"/>
      <c r="I205" s="67">
        <f>IF(OR(A205="",C205=""),"",IFERROR(INDEX('Produtos'!$F$5:$F$204,MATCH(C205,'Produtos'!$A$5:$A$204,0))+SUMIFS($F$5:$F$1004,$C$5:$C$1004,C205,$E$5:$E$1004,"Entrada",$A$5:$A$1004,"&lt;="&amp;A205)-SUMIFS($F$5:$F$1004,$C$5:$C$1004,C205,$E$5:$E$1004,"Saída",$A$5:$A$1004,"&lt;="&amp;A205),""))</f>
        <v/>
      </c>
      <c r="J205" s="68">
        <f>IF(A205="","",A205+ROW()/100000)</f>
        <v/>
      </c>
    </row>
    <row r="206">
      <c r="A206" s="65" t="n"/>
      <c r="B206" s="58" t="n"/>
      <c r="C206" s="58" t="n"/>
      <c r="D206" s="66">
        <f>IF(C206="","",IFERROR(INDEX('Produtos'!$B$5:$B$204,MATCH(C206,'Produtos'!$A$5:$A$204,0)),"Código não cadastrado"))</f>
        <v/>
      </c>
      <c r="E206" s="58" t="n"/>
      <c r="F206" s="61" t="n"/>
      <c r="G206" s="59" t="n"/>
      <c r="H206" s="59" t="n"/>
      <c r="I206" s="67">
        <f>IF(OR(A206="",C206=""),"",IFERROR(INDEX('Produtos'!$F$5:$F$204,MATCH(C206,'Produtos'!$A$5:$A$204,0))+SUMIFS($F$5:$F$1004,$C$5:$C$1004,C206,$E$5:$E$1004,"Entrada",$A$5:$A$1004,"&lt;="&amp;A206)-SUMIFS($F$5:$F$1004,$C$5:$C$1004,C206,$E$5:$E$1004,"Saída",$A$5:$A$1004,"&lt;="&amp;A206),""))</f>
        <v/>
      </c>
      <c r="J206" s="68">
        <f>IF(A206="","",A206+ROW()/100000)</f>
        <v/>
      </c>
    </row>
    <row r="207">
      <c r="A207" s="65" t="n"/>
      <c r="B207" s="58" t="n"/>
      <c r="C207" s="58" t="n"/>
      <c r="D207" s="66">
        <f>IF(C207="","",IFERROR(INDEX('Produtos'!$B$5:$B$204,MATCH(C207,'Produtos'!$A$5:$A$204,0)),"Código não cadastrado"))</f>
        <v/>
      </c>
      <c r="E207" s="58" t="n"/>
      <c r="F207" s="61" t="n"/>
      <c r="G207" s="59" t="n"/>
      <c r="H207" s="59" t="n"/>
      <c r="I207" s="67">
        <f>IF(OR(A207="",C207=""),"",IFERROR(INDEX('Produtos'!$F$5:$F$204,MATCH(C207,'Produtos'!$A$5:$A$204,0))+SUMIFS($F$5:$F$1004,$C$5:$C$1004,C207,$E$5:$E$1004,"Entrada",$A$5:$A$1004,"&lt;="&amp;A207)-SUMIFS($F$5:$F$1004,$C$5:$C$1004,C207,$E$5:$E$1004,"Saída",$A$5:$A$1004,"&lt;="&amp;A207),""))</f>
        <v/>
      </c>
      <c r="J207" s="68">
        <f>IF(A207="","",A207+ROW()/100000)</f>
        <v/>
      </c>
    </row>
    <row r="208">
      <c r="A208" s="65" t="n"/>
      <c r="B208" s="58" t="n"/>
      <c r="C208" s="58" t="n"/>
      <c r="D208" s="66">
        <f>IF(C208="","",IFERROR(INDEX('Produtos'!$B$5:$B$204,MATCH(C208,'Produtos'!$A$5:$A$204,0)),"Código não cadastrado"))</f>
        <v/>
      </c>
      <c r="E208" s="58" t="n"/>
      <c r="F208" s="61" t="n"/>
      <c r="G208" s="59" t="n"/>
      <c r="H208" s="59" t="n"/>
      <c r="I208" s="67">
        <f>IF(OR(A208="",C208=""),"",IFERROR(INDEX('Produtos'!$F$5:$F$204,MATCH(C208,'Produtos'!$A$5:$A$204,0))+SUMIFS($F$5:$F$1004,$C$5:$C$1004,C208,$E$5:$E$1004,"Entrada",$A$5:$A$1004,"&lt;="&amp;A208)-SUMIFS($F$5:$F$1004,$C$5:$C$1004,C208,$E$5:$E$1004,"Saída",$A$5:$A$1004,"&lt;="&amp;A208),""))</f>
        <v/>
      </c>
      <c r="J208" s="68">
        <f>IF(A208="","",A208+ROW()/100000)</f>
        <v/>
      </c>
    </row>
    <row r="209">
      <c r="A209" s="65" t="n"/>
      <c r="B209" s="58" t="n"/>
      <c r="C209" s="58" t="n"/>
      <c r="D209" s="66">
        <f>IF(C209="","",IFERROR(INDEX('Produtos'!$B$5:$B$204,MATCH(C209,'Produtos'!$A$5:$A$204,0)),"Código não cadastrado"))</f>
        <v/>
      </c>
      <c r="E209" s="58" t="n"/>
      <c r="F209" s="61" t="n"/>
      <c r="G209" s="59" t="n"/>
      <c r="H209" s="59" t="n"/>
      <c r="I209" s="67">
        <f>IF(OR(A209="",C209=""),"",IFERROR(INDEX('Produtos'!$F$5:$F$204,MATCH(C209,'Produtos'!$A$5:$A$204,0))+SUMIFS($F$5:$F$1004,$C$5:$C$1004,C209,$E$5:$E$1004,"Entrada",$A$5:$A$1004,"&lt;="&amp;A209)-SUMIFS($F$5:$F$1004,$C$5:$C$1004,C209,$E$5:$E$1004,"Saída",$A$5:$A$1004,"&lt;="&amp;A209),""))</f>
        <v/>
      </c>
      <c r="J209" s="68">
        <f>IF(A209="","",A209+ROW()/100000)</f>
        <v/>
      </c>
    </row>
    <row r="210">
      <c r="A210" s="65" t="n"/>
      <c r="B210" s="58" t="n"/>
      <c r="C210" s="58" t="n"/>
      <c r="D210" s="66">
        <f>IF(C210="","",IFERROR(INDEX('Produtos'!$B$5:$B$204,MATCH(C210,'Produtos'!$A$5:$A$204,0)),"Código não cadastrado"))</f>
        <v/>
      </c>
      <c r="E210" s="58" t="n"/>
      <c r="F210" s="61" t="n"/>
      <c r="G210" s="59" t="n"/>
      <c r="H210" s="59" t="n"/>
      <c r="I210" s="67">
        <f>IF(OR(A210="",C210=""),"",IFERROR(INDEX('Produtos'!$F$5:$F$204,MATCH(C210,'Produtos'!$A$5:$A$204,0))+SUMIFS($F$5:$F$1004,$C$5:$C$1004,C210,$E$5:$E$1004,"Entrada",$A$5:$A$1004,"&lt;="&amp;A210)-SUMIFS($F$5:$F$1004,$C$5:$C$1004,C210,$E$5:$E$1004,"Saída",$A$5:$A$1004,"&lt;="&amp;A210),""))</f>
        <v/>
      </c>
      <c r="J210" s="68">
        <f>IF(A210="","",A210+ROW()/100000)</f>
        <v/>
      </c>
    </row>
    <row r="211">
      <c r="A211" s="65" t="n"/>
      <c r="B211" s="58" t="n"/>
      <c r="C211" s="58" t="n"/>
      <c r="D211" s="66">
        <f>IF(C211="","",IFERROR(INDEX('Produtos'!$B$5:$B$204,MATCH(C211,'Produtos'!$A$5:$A$204,0)),"Código não cadastrado"))</f>
        <v/>
      </c>
      <c r="E211" s="58" t="n"/>
      <c r="F211" s="61" t="n"/>
      <c r="G211" s="59" t="n"/>
      <c r="H211" s="59" t="n"/>
      <c r="I211" s="67">
        <f>IF(OR(A211="",C211=""),"",IFERROR(INDEX('Produtos'!$F$5:$F$204,MATCH(C211,'Produtos'!$A$5:$A$204,0))+SUMIFS($F$5:$F$1004,$C$5:$C$1004,C211,$E$5:$E$1004,"Entrada",$A$5:$A$1004,"&lt;="&amp;A211)-SUMIFS($F$5:$F$1004,$C$5:$C$1004,C211,$E$5:$E$1004,"Saída",$A$5:$A$1004,"&lt;="&amp;A211),""))</f>
        <v/>
      </c>
      <c r="J211" s="68">
        <f>IF(A211="","",A211+ROW()/100000)</f>
        <v/>
      </c>
    </row>
    <row r="212">
      <c r="A212" s="65" t="n"/>
      <c r="B212" s="58" t="n"/>
      <c r="C212" s="58" t="n"/>
      <c r="D212" s="66">
        <f>IF(C212="","",IFERROR(INDEX('Produtos'!$B$5:$B$204,MATCH(C212,'Produtos'!$A$5:$A$204,0)),"Código não cadastrado"))</f>
        <v/>
      </c>
      <c r="E212" s="58" t="n"/>
      <c r="F212" s="61" t="n"/>
      <c r="G212" s="59" t="n"/>
      <c r="H212" s="59" t="n"/>
      <c r="I212" s="67">
        <f>IF(OR(A212="",C212=""),"",IFERROR(INDEX('Produtos'!$F$5:$F$204,MATCH(C212,'Produtos'!$A$5:$A$204,0))+SUMIFS($F$5:$F$1004,$C$5:$C$1004,C212,$E$5:$E$1004,"Entrada",$A$5:$A$1004,"&lt;="&amp;A212)-SUMIFS($F$5:$F$1004,$C$5:$C$1004,C212,$E$5:$E$1004,"Saída",$A$5:$A$1004,"&lt;="&amp;A212),""))</f>
        <v/>
      </c>
      <c r="J212" s="68">
        <f>IF(A212="","",A212+ROW()/100000)</f>
        <v/>
      </c>
    </row>
    <row r="213">
      <c r="A213" s="65" t="n"/>
      <c r="B213" s="58" t="n"/>
      <c r="C213" s="58" t="n"/>
      <c r="D213" s="66">
        <f>IF(C213="","",IFERROR(INDEX('Produtos'!$B$5:$B$204,MATCH(C213,'Produtos'!$A$5:$A$204,0)),"Código não cadastrado"))</f>
        <v/>
      </c>
      <c r="E213" s="58" t="n"/>
      <c r="F213" s="61" t="n"/>
      <c r="G213" s="59" t="n"/>
      <c r="H213" s="59" t="n"/>
      <c r="I213" s="67">
        <f>IF(OR(A213="",C213=""),"",IFERROR(INDEX('Produtos'!$F$5:$F$204,MATCH(C213,'Produtos'!$A$5:$A$204,0))+SUMIFS($F$5:$F$1004,$C$5:$C$1004,C213,$E$5:$E$1004,"Entrada",$A$5:$A$1004,"&lt;="&amp;A213)-SUMIFS($F$5:$F$1004,$C$5:$C$1004,C213,$E$5:$E$1004,"Saída",$A$5:$A$1004,"&lt;="&amp;A213),""))</f>
        <v/>
      </c>
      <c r="J213" s="68">
        <f>IF(A213="","",A213+ROW()/100000)</f>
        <v/>
      </c>
    </row>
    <row r="214">
      <c r="A214" s="65" t="n"/>
      <c r="B214" s="58" t="n"/>
      <c r="C214" s="58" t="n"/>
      <c r="D214" s="66">
        <f>IF(C214="","",IFERROR(INDEX('Produtos'!$B$5:$B$204,MATCH(C214,'Produtos'!$A$5:$A$204,0)),"Código não cadastrado"))</f>
        <v/>
      </c>
      <c r="E214" s="58" t="n"/>
      <c r="F214" s="61" t="n"/>
      <c r="G214" s="59" t="n"/>
      <c r="H214" s="59" t="n"/>
      <c r="I214" s="67">
        <f>IF(OR(A214="",C214=""),"",IFERROR(INDEX('Produtos'!$F$5:$F$204,MATCH(C214,'Produtos'!$A$5:$A$204,0))+SUMIFS($F$5:$F$1004,$C$5:$C$1004,C214,$E$5:$E$1004,"Entrada",$A$5:$A$1004,"&lt;="&amp;A214)-SUMIFS($F$5:$F$1004,$C$5:$C$1004,C214,$E$5:$E$1004,"Saída",$A$5:$A$1004,"&lt;="&amp;A214),""))</f>
        <v/>
      </c>
      <c r="J214" s="68">
        <f>IF(A214="","",A214+ROW()/100000)</f>
        <v/>
      </c>
    </row>
    <row r="215">
      <c r="A215" s="65" t="n"/>
      <c r="B215" s="58" t="n"/>
      <c r="C215" s="58" t="n"/>
      <c r="D215" s="66">
        <f>IF(C215="","",IFERROR(INDEX('Produtos'!$B$5:$B$204,MATCH(C215,'Produtos'!$A$5:$A$204,0)),"Código não cadastrado"))</f>
        <v/>
      </c>
      <c r="E215" s="58" t="n"/>
      <c r="F215" s="61" t="n"/>
      <c r="G215" s="59" t="n"/>
      <c r="H215" s="59" t="n"/>
      <c r="I215" s="67">
        <f>IF(OR(A215="",C215=""),"",IFERROR(INDEX('Produtos'!$F$5:$F$204,MATCH(C215,'Produtos'!$A$5:$A$204,0))+SUMIFS($F$5:$F$1004,$C$5:$C$1004,C215,$E$5:$E$1004,"Entrada",$A$5:$A$1004,"&lt;="&amp;A215)-SUMIFS($F$5:$F$1004,$C$5:$C$1004,C215,$E$5:$E$1004,"Saída",$A$5:$A$1004,"&lt;="&amp;A215),""))</f>
        <v/>
      </c>
      <c r="J215" s="68">
        <f>IF(A215="","",A215+ROW()/100000)</f>
        <v/>
      </c>
    </row>
    <row r="216">
      <c r="A216" s="65" t="n"/>
      <c r="B216" s="58" t="n"/>
      <c r="C216" s="58" t="n"/>
      <c r="D216" s="66">
        <f>IF(C216="","",IFERROR(INDEX('Produtos'!$B$5:$B$204,MATCH(C216,'Produtos'!$A$5:$A$204,0)),"Código não cadastrado"))</f>
        <v/>
      </c>
      <c r="E216" s="58" t="n"/>
      <c r="F216" s="61" t="n"/>
      <c r="G216" s="59" t="n"/>
      <c r="H216" s="59" t="n"/>
      <c r="I216" s="67">
        <f>IF(OR(A216="",C216=""),"",IFERROR(INDEX('Produtos'!$F$5:$F$204,MATCH(C216,'Produtos'!$A$5:$A$204,0))+SUMIFS($F$5:$F$1004,$C$5:$C$1004,C216,$E$5:$E$1004,"Entrada",$A$5:$A$1004,"&lt;="&amp;A216)-SUMIFS($F$5:$F$1004,$C$5:$C$1004,C216,$E$5:$E$1004,"Saída",$A$5:$A$1004,"&lt;="&amp;A216),""))</f>
        <v/>
      </c>
      <c r="J216" s="68">
        <f>IF(A216="","",A216+ROW()/100000)</f>
        <v/>
      </c>
    </row>
    <row r="217">
      <c r="A217" s="65" t="n"/>
      <c r="B217" s="58" t="n"/>
      <c r="C217" s="58" t="n"/>
      <c r="D217" s="66">
        <f>IF(C217="","",IFERROR(INDEX('Produtos'!$B$5:$B$204,MATCH(C217,'Produtos'!$A$5:$A$204,0)),"Código não cadastrado"))</f>
        <v/>
      </c>
      <c r="E217" s="58" t="n"/>
      <c r="F217" s="61" t="n"/>
      <c r="G217" s="59" t="n"/>
      <c r="H217" s="59" t="n"/>
      <c r="I217" s="67">
        <f>IF(OR(A217="",C217=""),"",IFERROR(INDEX('Produtos'!$F$5:$F$204,MATCH(C217,'Produtos'!$A$5:$A$204,0))+SUMIFS($F$5:$F$1004,$C$5:$C$1004,C217,$E$5:$E$1004,"Entrada",$A$5:$A$1004,"&lt;="&amp;A217)-SUMIFS($F$5:$F$1004,$C$5:$C$1004,C217,$E$5:$E$1004,"Saída",$A$5:$A$1004,"&lt;="&amp;A217),""))</f>
        <v/>
      </c>
      <c r="J217" s="68">
        <f>IF(A217="","",A217+ROW()/100000)</f>
        <v/>
      </c>
    </row>
    <row r="218">
      <c r="A218" s="65" t="n"/>
      <c r="B218" s="58" t="n"/>
      <c r="C218" s="58" t="n"/>
      <c r="D218" s="66">
        <f>IF(C218="","",IFERROR(INDEX('Produtos'!$B$5:$B$204,MATCH(C218,'Produtos'!$A$5:$A$204,0)),"Código não cadastrado"))</f>
        <v/>
      </c>
      <c r="E218" s="58" t="n"/>
      <c r="F218" s="61" t="n"/>
      <c r="G218" s="59" t="n"/>
      <c r="H218" s="59" t="n"/>
      <c r="I218" s="67">
        <f>IF(OR(A218="",C218=""),"",IFERROR(INDEX('Produtos'!$F$5:$F$204,MATCH(C218,'Produtos'!$A$5:$A$204,0))+SUMIFS($F$5:$F$1004,$C$5:$C$1004,C218,$E$5:$E$1004,"Entrada",$A$5:$A$1004,"&lt;="&amp;A218)-SUMIFS($F$5:$F$1004,$C$5:$C$1004,C218,$E$5:$E$1004,"Saída",$A$5:$A$1004,"&lt;="&amp;A218),""))</f>
        <v/>
      </c>
      <c r="J218" s="68">
        <f>IF(A218="","",A218+ROW()/100000)</f>
        <v/>
      </c>
    </row>
    <row r="219">
      <c r="A219" s="65" t="n"/>
      <c r="B219" s="58" t="n"/>
      <c r="C219" s="58" t="n"/>
      <c r="D219" s="66">
        <f>IF(C219="","",IFERROR(INDEX('Produtos'!$B$5:$B$204,MATCH(C219,'Produtos'!$A$5:$A$204,0)),"Código não cadastrado"))</f>
        <v/>
      </c>
      <c r="E219" s="58" t="n"/>
      <c r="F219" s="61" t="n"/>
      <c r="G219" s="59" t="n"/>
      <c r="H219" s="59" t="n"/>
      <c r="I219" s="67">
        <f>IF(OR(A219="",C219=""),"",IFERROR(INDEX('Produtos'!$F$5:$F$204,MATCH(C219,'Produtos'!$A$5:$A$204,0))+SUMIFS($F$5:$F$1004,$C$5:$C$1004,C219,$E$5:$E$1004,"Entrada",$A$5:$A$1004,"&lt;="&amp;A219)-SUMIFS($F$5:$F$1004,$C$5:$C$1004,C219,$E$5:$E$1004,"Saída",$A$5:$A$1004,"&lt;="&amp;A219),""))</f>
        <v/>
      </c>
      <c r="J219" s="68">
        <f>IF(A219="","",A219+ROW()/100000)</f>
        <v/>
      </c>
    </row>
    <row r="220">
      <c r="A220" s="65" t="n"/>
      <c r="B220" s="58" t="n"/>
      <c r="C220" s="58" t="n"/>
      <c r="D220" s="66">
        <f>IF(C220="","",IFERROR(INDEX('Produtos'!$B$5:$B$204,MATCH(C220,'Produtos'!$A$5:$A$204,0)),"Código não cadastrado"))</f>
        <v/>
      </c>
      <c r="E220" s="58" t="n"/>
      <c r="F220" s="61" t="n"/>
      <c r="G220" s="59" t="n"/>
      <c r="H220" s="59" t="n"/>
      <c r="I220" s="67">
        <f>IF(OR(A220="",C220=""),"",IFERROR(INDEX('Produtos'!$F$5:$F$204,MATCH(C220,'Produtos'!$A$5:$A$204,0))+SUMIFS($F$5:$F$1004,$C$5:$C$1004,C220,$E$5:$E$1004,"Entrada",$A$5:$A$1004,"&lt;="&amp;A220)-SUMIFS($F$5:$F$1004,$C$5:$C$1004,C220,$E$5:$E$1004,"Saída",$A$5:$A$1004,"&lt;="&amp;A220),""))</f>
        <v/>
      </c>
      <c r="J220" s="68">
        <f>IF(A220="","",A220+ROW()/100000)</f>
        <v/>
      </c>
    </row>
    <row r="221">
      <c r="A221" s="65" t="n"/>
      <c r="B221" s="58" t="n"/>
      <c r="C221" s="58" t="n"/>
      <c r="D221" s="66">
        <f>IF(C221="","",IFERROR(INDEX('Produtos'!$B$5:$B$204,MATCH(C221,'Produtos'!$A$5:$A$204,0)),"Código não cadastrado"))</f>
        <v/>
      </c>
      <c r="E221" s="58" t="n"/>
      <c r="F221" s="61" t="n"/>
      <c r="G221" s="59" t="n"/>
      <c r="H221" s="59" t="n"/>
      <c r="I221" s="67">
        <f>IF(OR(A221="",C221=""),"",IFERROR(INDEX('Produtos'!$F$5:$F$204,MATCH(C221,'Produtos'!$A$5:$A$204,0))+SUMIFS($F$5:$F$1004,$C$5:$C$1004,C221,$E$5:$E$1004,"Entrada",$A$5:$A$1004,"&lt;="&amp;A221)-SUMIFS($F$5:$F$1004,$C$5:$C$1004,C221,$E$5:$E$1004,"Saída",$A$5:$A$1004,"&lt;="&amp;A221),""))</f>
        <v/>
      </c>
      <c r="J221" s="68">
        <f>IF(A221="","",A221+ROW()/100000)</f>
        <v/>
      </c>
    </row>
    <row r="222">
      <c r="A222" s="65" t="n"/>
      <c r="B222" s="58" t="n"/>
      <c r="C222" s="58" t="n"/>
      <c r="D222" s="66">
        <f>IF(C222="","",IFERROR(INDEX('Produtos'!$B$5:$B$204,MATCH(C222,'Produtos'!$A$5:$A$204,0)),"Código não cadastrado"))</f>
        <v/>
      </c>
      <c r="E222" s="58" t="n"/>
      <c r="F222" s="61" t="n"/>
      <c r="G222" s="59" t="n"/>
      <c r="H222" s="59" t="n"/>
      <c r="I222" s="67">
        <f>IF(OR(A222="",C222=""),"",IFERROR(INDEX('Produtos'!$F$5:$F$204,MATCH(C222,'Produtos'!$A$5:$A$204,0))+SUMIFS($F$5:$F$1004,$C$5:$C$1004,C222,$E$5:$E$1004,"Entrada",$A$5:$A$1004,"&lt;="&amp;A222)-SUMIFS($F$5:$F$1004,$C$5:$C$1004,C222,$E$5:$E$1004,"Saída",$A$5:$A$1004,"&lt;="&amp;A222),""))</f>
        <v/>
      </c>
      <c r="J222" s="68">
        <f>IF(A222="","",A222+ROW()/100000)</f>
        <v/>
      </c>
    </row>
    <row r="223">
      <c r="A223" s="65" t="n"/>
      <c r="B223" s="58" t="n"/>
      <c r="C223" s="58" t="n"/>
      <c r="D223" s="66">
        <f>IF(C223="","",IFERROR(INDEX('Produtos'!$B$5:$B$204,MATCH(C223,'Produtos'!$A$5:$A$204,0)),"Código não cadastrado"))</f>
        <v/>
      </c>
      <c r="E223" s="58" t="n"/>
      <c r="F223" s="61" t="n"/>
      <c r="G223" s="59" t="n"/>
      <c r="H223" s="59" t="n"/>
      <c r="I223" s="67">
        <f>IF(OR(A223="",C223=""),"",IFERROR(INDEX('Produtos'!$F$5:$F$204,MATCH(C223,'Produtos'!$A$5:$A$204,0))+SUMIFS($F$5:$F$1004,$C$5:$C$1004,C223,$E$5:$E$1004,"Entrada",$A$5:$A$1004,"&lt;="&amp;A223)-SUMIFS($F$5:$F$1004,$C$5:$C$1004,C223,$E$5:$E$1004,"Saída",$A$5:$A$1004,"&lt;="&amp;A223),""))</f>
        <v/>
      </c>
      <c r="J223" s="68">
        <f>IF(A223="","",A223+ROW()/100000)</f>
        <v/>
      </c>
    </row>
    <row r="224">
      <c r="A224" s="65" t="n"/>
      <c r="B224" s="58" t="n"/>
      <c r="C224" s="58" t="n"/>
      <c r="D224" s="66">
        <f>IF(C224="","",IFERROR(INDEX('Produtos'!$B$5:$B$204,MATCH(C224,'Produtos'!$A$5:$A$204,0)),"Código não cadastrado"))</f>
        <v/>
      </c>
      <c r="E224" s="58" t="n"/>
      <c r="F224" s="61" t="n"/>
      <c r="G224" s="59" t="n"/>
      <c r="H224" s="59" t="n"/>
      <c r="I224" s="67">
        <f>IF(OR(A224="",C224=""),"",IFERROR(INDEX('Produtos'!$F$5:$F$204,MATCH(C224,'Produtos'!$A$5:$A$204,0))+SUMIFS($F$5:$F$1004,$C$5:$C$1004,C224,$E$5:$E$1004,"Entrada",$A$5:$A$1004,"&lt;="&amp;A224)-SUMIFS($F$5:$F$1004,$C$5:$C$1004,C224,$E$5:$E$1004,"Saída",$A$5:$A$1004,"&lt;="&amp;A224),""))</f>
        <v/>
      </c>
      <c r="J224" s="68">
        <f>IF(A224="","",A224+ROW()/100000)</f>
        <v/>
      </c>
    </row>
    <row r="225">
      <c r="A225" s="65" t="n"/>
      <c r="B225" s="58" t="n"/>
      <c r="C225" s="58" t="n"/>
      <c r="D225" s="66">
        <f>IF(C225="","",IFERROR(INDEX('Produtos'!$B$5:$B$204,MATCH(C225,'Produtos'!$A$5:$A$204,0)),"Código não cadastrado"))</f>
        <v/>
      </c>
      <c r="E225" s="58" t="n"/>
      <c r="F225" s="61" t="n"/>
      <c r="G225" s="59" t="n"/>
      <c r="H225" s="59" t="n"/>
      <c r="I225" s="67">
        <f>IF(OR(A225="",C225=""),"",IFERROR(INDEX('Produtos'!$F$5:$F$204,MATCH(C225,'Produtos'!$A$5:$A$204,0))+SUMIFS($F$5:$F$1004,$C$5:$C$1004,C225,$E$5:$E$1004,"Entrada",$A$5:$A$1004,"&lt;="&amp;A225)-SUMIFS($F$5:$F$1004,$C$5:$C$1004,C225,$E$5:$E$1004,"Saída",$A$5:$A$1004,"&lt;="&amp;A225),""))</f>
        <v/>
      </c>
      <c r="J225" s="68">
        <f>IF(A225="","",A225+ROW()/100000)</f>
        <v/>
      </c>
    </row>
    <row r="226">
      <c r="A226" s="65" t="n"/>
      <c r="B226" s="58" t="n"/>
      <c r="C226" s="58" t="n"/>
      <c r="D226" s="66">
        <f>IF(C226="","",IFERROR(INDEX('Produtos'!$B$5:$B$204,MATCH(C226,'Produtos'!$A$5:$A$204,0)),"Código não cadastrado"))</f>
        <v/>
      </c>
      <c r="E226" s="58" t="n"/>
      <c r="F226" s="61" t="n"/>
      <c r="G226" s="59" t="n"/>
      <c r="H226" s="59" t="n"/>
      <c r="I226" s="67">
        <f>IF(OR(A226="",C226=""),"",IFERROR(INDEX('Produtos'!$F$5:$F$204,MATCH(C226,'Produtos'!$A$5:$A$204,0))+SUMIFS($F$5:$F$1004,$C$5:$C$1004,C226,$E$5:$E$1004,"Entrada",$A$5:$A$1004,"&lt;="&amp;A226)-SUMIFS($F$5:$F$1004,$C$5:$C$1004,C226,$E$5:$E$1004,"Saída",$A$5:$A$1004,"&lt;="&amp;A226),""))</f>
        <v/>
      </c>
      <c r="J226" s="68">
        <f>IF(A226="","",A226+ROW()/100000)</f>
        <v/>
      </c>
    </row>
    <row r="227">
      <c r="A227" s="65" t="n"/>
      <c r="B227" s="58" t="n"/>
      <c r="C227" s="58" t="n"/>
      <c r="D227" s="66">
        <f>IF(C227="","",IFERROR(INDEX('Produtos'!$B$5:$B$204,MATCH(C227,'Produtos'!$A$5:$A$204,0)),"Código não cadastrado"))</f>
        <v/>
      </c>
      <c r="E227" s="58" t="n"/>
      <c r="F227" s="61" t="n"/>
      <c r="G227" s="59" t="n"/>
      <c r="H227" s="59" t="n"/>
      <c r="I227" s="67">
        <f>IF(OR(A227="",C227=""),"",IFERROR(INDEX('Produtos'!$F$5:$F$204,MATCH(C227,'Produtos'!$A$5:$A$204,0))+SUMIFS($F$5:$F$1004,$C$5:$C$1004,C227,$E$5:$E$1004,"Entrada",$A$5:$A$1004,"&lt;="&amp;A227)-SUMIFS($F$5:$F$1004,$C$5:$C$1004,C227,$E$5:$E$1004,"Saída",$A$5:$A$1004,"&lt;="&amp;A227),""))</f>
        <v/>
      </c>
      <c r="J227" s="68">
        <f>IF(A227="","",A227+ROW()/100000)</f>
        <v/>
      </c>
    </row>
    <row r="228">
      <c r="A228" s="65" t="n"/>
      <c r="B228" s="58" t="n"/>
      <c r="C228" s="58" t="n"/>
      <c r="D228" s="66">
        <f>IF(C228="","",IFERROR(INDEX('Produtos'!$B$5:$B$204,MATCH(C228,'Produtos'!$A$5:$A$204,0)),"Código não cadastrado"))</f>
        <v/>
      </c>
      <c r="E228" s="58" t="n"/>
      <c r="F228" s="61" t="n"/>
      <c r="G228" s="59" t="n"/>
      <c r="H228" s="59" t="n"/>
      <c r="I228" s="67">
        <f>IF(OR(A228="",C228=""),"",IFERROR(INDEX('Produtos'!$F$5:$F$204,MATCH(C228,'Produtos'!$A$5:$A$204,0))+SUMIFS($F$5:$F$1004,$C$5:$C$1004,C228,$E$5:$E$1004,"Entrada",$A$5:$A$1004,"&lt;="&amp;A228)-SUMIFS($F$5:$F$1004,$C$5:$C$1004,C228,$E$5:$E$1004,"Saída",$A$5:$A$1004,"&lt;="&amp;A228),""))</f>
        <v/>
      </c>
      <c r="J228" s="68">
        <f>IF(A228="","",A228+ROW()/100000)</f>
        <v/>
      </c>
    </row>
    <row r="229">
      <c r="A229" s="65" t="n"/>
      <c r="B229" s="58" t="n"/>
      <c r="C229" s="58" t="n"/>
      <c r="D229" s="66">
        <f>IF(C229="","",IFERROR(INDEX('Produtos'!$B$5:$B$204,MATCH(C229,'Produtos'!$A$5:$A$204,0)),"Código não cadastrado"))</f>
        <v/>
      </c>
      <c r="E229" s="58" t="n"/>
      <c r="F229" s="61" t="n"/>
      <c r="G229" s="59" t="n"/>
      <c r="H229" s="59" t="n"/>
      <c r="I229" s="67">
        <f>IF(OR(A229="",C229=""),"",IFERROR(INDEX('Produtos'!$F$5:$F$204,MATCH(C229,'Produtos'!$A$5:$A$204,0))+SUMIFS($F$5:$F$1004,$C$5:$C$1004,C229,$E$5:$E$1004,"Entrada",$A$5:$A$1004,"&lt;="&amp;A229)-SUMIFS($F$5:$F$1004,$C$5:$C$1004,C229,$E$5:$E$1004,"Saída",$A$5:$A$1004,"&lt;="&amp;A229),""))</f>
        <v/>
      </c>
      <c r="J229" s="68">
        <f>IF(A229="","",A229+ROW()/100000)</f>
        <v/>
      </c>
    </row>
    <row r="230">
      <c r="A230" s="65" t="n"/>
      <c r="B230" s="58" t="n"/>
      <c r="C230" s="58" t="n"/>
      <c r="D230" s="66">
        <f>IF(C230="","",IFERROR(INDEX('Produtos'!$B$5:$B$204,MATCH(C230,'Produtos'!$A$5:$A$204,0)),"Código não cadastrado"))</f>
        <v/>
      </c>
      <c r="E230" s="58" t="n"/>
      <c r="F230" s="61" t="n"/>
      <c r="G230" s="59" t="n"/>
      <c r="H230" s="59" t="n"/>
      <c r="I230" s="67">
        <f>IF(OR(A230="",C230=""),"",IFERROR(INDEX('Produtos'!$F$5:$F$204,MATCH(C230,'Produtos'!$A$5:$A$204,0))+SUMIFS($F$5:$F$1004,$C$5:$C$1004,C230,$E$5:$E$1004,"Entrada",$A$5:$A$1004,"&lt;="&amp;A230)-SUMIFS($F$5:$F$1004,$C$5:$C$1004,C230,$E$5:$E$1004,"Saída",$A$5:$A$1004,"&lt;="&amp;A230),""))</f>
        <v/>
      </c>
      <c r="J230" s="68">
        <f>IF(A230="","",A230+ROW()/100000)</f>
        <v/>
      </c>
    </row>
    <row r="231">
      <c r="A231" s="65" t="n"/>
      <c r="B231" s="58" t="n"/>
      <c r="C231" s="58" t="n"/>
      <c r="D231" s="66">
        <f>IF(C231="","",IFERROR(INDEX('Produtos'!$B$5:$B$204,MATCH(C231,'Produtos'!$A$5:$A$204,0)),"Código não cadastrado"))</f>
        <v/>
      </c>
      <c r="E231" s="58" t="n"/>
      <c r="F231" s="61" t="n"/>
      <c r="G231" s="59" t="n"/>
      <c r="H231" s="59" t="n"/>
      <c r="I231" s="67">
        <f>IF(OR(A231="",C231=""),"",IFERROR(INDEX('Produtos'!$F$5:$F$204,MATCH(C231,'Produtos'!$A$5:$A$204,0))+SUMIFS($F$5:$F$1004,$C$5:$C$1004,C231,$E$5:$E$1004,"Entrada",$A$5:$A$1004,"&lt;="&amp;A231)-SUMIFS($F$5:$F$1004,$C$5:$C$1004,C231,$E$5:$E$1004,"Saída",$A$5:$A$1004,"&lt;="&amp;A231),""))</f>
        <v/>
      </c>
      <c r="J231" s="68">
        <f>IF(A231="","",A231+ROW()/100000)</f>
        <v/>
      </c>
    </row>
    <row r="232">
      <c r="A232" s="65" t="n"/>
      <c r="B232" s="58" t="n"/>
      <c r="C232" s="58" t="n"/>
      <c r="D232" s="66">
        <f>IF(C232="","",IFERROR(INDEX('Produtos'!$B$5:$B$204,MATCH(C232,'Produtos'!$A$5:$A$204,0)),"Código não cadastrado"))</f>
        <v/>
      </c>
      <c r="E232" s="58" t="n"/>
      <c r="F232" s="61" t="n"/>
      <c r="G232" s="59" t="n"/>
      <c r="H232" s="59" t="n"/>
      <c r="I232" s="67">
        <f>IF(OR(A232="",C232=""),"",IFERROR(INDEX('Produtos'!$F$5:$F$204,MATCH(C232,'Produtos'!$A$5:$A$204,0))+SUMIFS($F$5:$F$1004,$C$5:$C$1004,C232,$E$5:$E$1004,"Entrada",$A$5:$A$1004,"&lt;="&amp;A232)-SUMIFS($F$5:$F$1004,$C$5:$C$1004,C232,$E$5:$E$1004,"Saída",$A$5:$A$1004,"&lt;="&amp;A232),""))</f>
        <v/>
      </c>
      <c r="J232" s="68">
        <f>IF(A232="","",A232+ROW()/100000)</f>
        <v/>
      </c>
    </row>
    <row r="233">
      <c r="A233" s="65" t="n"/>
      <c r="B233" s="58" t="n"/>
      <c r="C233" s="58" t="n"/>
      <c r="D233" s="66">
        <f>IF(C233="","",IFERROR(INDEX('Produtos'!$B$5:$B$204,MATCH(C233,'Produtos'!$A$5:$A$204,0)),"Código não cadastrado"))</f>
        <v/>
      </c>
      <c r="E233" s="58" t="n"/>
      <c r="F233" s="61" t="n"/>
      <c r="G233" s="59" t="n"/>
      <c r="H233" s="59" t="n"/>
      <c r="I233" s="67">
        <f>IF(OR(A233="",C233=""),"",IFERROR(INDEX('Produtos'!$F$5:$F$204,MATCH(C233,'Produtos'!$A$5:$A$204,0))+SUMIFS($F$5:$F$1004,$C$5:$C$1004,C233,$E$5:$E$1004,"Entrada",$A$5:$A$1004,"&lt;="&amp;A233)-SUMIFS($F$5:$F$1004,$C$5:$C$1004,C233,$E$5:$E$1004,"Saída",$A$5:$A$1004,"&lt;="&amp;A233),""))</f>
        <v/>
      </c>
      <c r="J233" s="68">
        <f>IF(A233="","",A233+ROW()/100000)</f>
        <v/>
      </c>
    </row>
    <row r="234">
      <c r="A234" s="65" t="n"/>
      <c r="B234" s="58" t="n"/>
      <c r="C234" s="58" t="n"/>
      <c r="D234" s="66">
        <f>IF(C234="","",IFERROR(INDEX('Produtos'!$B$5:$B$204,MATCH(C234,'Produtos'!$A$5:$A$204,0)),"Código não cadastrado"))</f>
        <v/>
      </c>
      <c r="E234" s="58" t="n"/>
      <c r="F234" s="61" t="n"/>
      <c r="G234" s="59" t="n"/>
      <c r="H234" s="59" t="n"/>
      <c r="I234" s="67">
        <f>IF(OR(A234="",C234=""),"",IFERROR(INDEX('Produtos'!$F$5:$F$204,MATCH(C234,'Produtos'!$A$5:$A$204,0))+SUMIFS($F$5:$F$1004,$C$5:$C$1004,C234,$E$5:$E$1004,"Entrada",$A$5:$A$1004,"&lt;="&amp;A234)-SUMIFS($F$5:$F$1004,$C$5:$C$1004,C234,$E$5:$E$1004,"Saída",$A$5:$A$1004,"&lt;="&amp;A234),""))</f>
        <v/>
      </c>
      <c r="J234" s="68">
        <f>IF(A234="","",A234+ROW()/100000)</f>
        <v/>
      </c>
    </row>
    <row r="235">
      <c r="A235" s="65" t="n"/>
      <c r="B235" s="58" t="n"/>
      <c r="C235" s="58" t="n"/>
      <c r="D235" s="66">
        <f>IF(C235="","",IFERROR(INDEX('Produtos'!$B$5:$B$204,MATCH(C235,'Produtos'!$A$5:$A$204,0)),"Código não cadastrado"))</f>
        <v/>
      </c>
      <c r="E235" s="58" t="n"/>
      <c r="F235" s="61" t="n"/>
      <c r="G235" s="59" t="n"/>
      <c r="H235" s="59" t="n"/>
      <c r="I235" s="67">
        <f>IF(OR(A235="",C235=""),"",IFERROR(INDEX('Produtos'!$F$5:$F$204,MATCH(C235,'Produtos'!$A$5:$A$204,0))+SUMIFS($F$5:$F$1004,$C$5:$C$1004,C235,$E$5:$E$1004,"Entrada",$A$5:$A$1004,"&lt;="&amp;A235)-SUMIFS($F$5:$F$1004,$C$5:$C$1004,C235,$E$5:$E$1004,"Saída",$A$5:$A$1004,"&lt;="&amp;A235),""))</f>
        <v/>
      </c>
      <c r="J235" s="68">
        <f>IF(A235="","",A235+ROW()/100000)</f>
        <v/>
      </c>
    </row>
    <row r="236">
      <c r="A236" s="65" t="n"/>
      <c r="B236" s="58" t="n"/>
      <c r="C236" s="58" t="n"/>
      <c r="D236" s="66">
        <f>IF(C236="","",IFERROR(INDEX('Produtos'!$B$5:$B$204,MATCH(C236,'Produtos'!$A$5:$A$204,0)),"Código não cadastrado"))</f>
        <v/>
      </c>
      <c r="E236" s="58" t="n"/>
      <c r="F236" s="61" t="n"/>
      <c r="G236" s="59" t="n"/>
      <c r="H236" s="59" t="n"/>
      <c r="I236" s="67">
        <f>IF(OR(A236="",C236=""),"",IFERROR(INDEX('Produtos'!$F$5:$F$204,MATCH(C236,'Produtos'!$A$5:$A$204,0))+SUMIFS($F$5:$F$1004,$C$5:$C$1004,C236,$E$5:$E$1004,"Entrada",$A$5:$A$1004,"&lt;="&amp;A236)-SUMIFS($F$5:$F$1004,$C$5:$C$1004,C236,$E$5:$E$1004,"Saída",$A$5:$A$1004,"&lt;="&amp;A236),""))</f>
        <v/>
      </c>
      <c r="J236" s="68">
        <f>IF(A236="","",A236+ROW()/100000)</f>
        <v/>
      </c>
    </row>
    <row r="237">
      <c r="A237" s="65" t="n"/>
      <c r="B237" s="58" t="n"/>
      <c r="C237" s="58" t="n"/>
      <c r="D237" s="66">
        <f>IF(C237="","",IFERROR(INDEX('Produtos'!$B$5:$B$204,MATCH(C237,'Produtos'!$A$5:$A$204,0)),"Código não cadastrado"))</f>
        <v/>
      </c>
      <c r="E237" s="58" t="n"/>
      <c r="F237" s="61" t="n"/>
      <c r="G237" s="59" t="n"/>
      <c r="H237" s="59" t="n"/>
      <c r="I237" s="67">
        <f>IF(OR(A237="",C237=""),"",IFERROR(INDEX('Produtos'!$F$5:$F$204,MATCH(C237,'Produtos'!$A$5:$A$204,0))+SUMIFS($F$5:$F$1004,$C$5:$C$1004,C237,$E$5:$E$1004,"Entrada",$A$5:$A$1004,"&lt;="&amp;A237)-SUMIFS($F$5:$F$1004,$C$5:$C$1004,C237,$E$5:$E$1004,"Saída",$A$5:$A$1004,"&lt;="&amp;A237),""))</f>
        <v/>
      </c>
      <c r="J237" s="68">
        <f>IF(A237="","",A237+ROW()/100000)</f>
        <v/>
      </c>
    </row>
    <row r="238">
      <c r="A238" s="65" t="n"/>
      <c r="B238" s="58" t="n"/>
      <c r="C238" s="58" t="n"/>
      <c r="D238" s="66">
        <f>IF(C238="","",IFERROR(INDEX('Produtos'!$B$5:$B$204,MATCH(C238,'Produtos'!$A$5:$A$204,0)),"Código não cadastrado"))</f>
        <v/>
      </c>
      <c r="E238" s="58" t="n"/>
      <c r="F238" s="61" t="n"/>
      <c r="G238" s="59" t="n"/>
      <c r="H238" s="59" t="n"/>
      <c r="I238" s="67">
        <f>IF(OR(A238="",C238=""),"",IFERROR(INDEX('Produtos'!$F$5:$F$204,MATCH(C238,'Produtos'!$A$5:$A$204,0))+SUMIFS($F$5:$F$1004,$C$5:$C$1004,C238,$E$5:$E$1004,"Entrada",$A$5:$A$1004,"&lt;="&amp;A238)-SUMIFS($F$5:$F$1004,$C$5:$C$1004,C238,$E$5:$E$1004,"Saída",$A$5:$A$1004,"&lt;="&amp;A238),""))</f>
        <v/>
      </c>
      <c r="J238" s="68">
        <f>IF(A238="","",A238+ROW()/100000)</f>
        <v/>
      </c>
    </row>
    <row r="239">
      <c r="A239" s="65" t="n"/>
      <c r="B239" s="58" t="n"/>
      <c r="C239" s="58" t="n"/>
      <c r="D239" s="66">
        <f>IF(C239="","",IFERROR(INDEX('Produtos'!$B$5:$B$204,MATCH(C239,'Produtos'!$A$5:$A$204,0)),"Código não cadastrado"))</f>
        <v/>
      </c>
      <c r="E239" s="58" t="n"/>
      <c r="F239" s="61" t="n"/>
      <c r="G239" s="59" t="n"/>
      <c r="H239" s="59" t="n"/>
      <c r="I239" s="67">
        <f>IF(OR(A239="",C239=""),"",IFERROR(INDEX('Produtos'!$F$5:$F$204,MATCH(C239,'Produtos'!$A$5:$A$204,0))+SUMIFS($F$5:$F$1004,$C$5:$C$1004,C239,$E$5:$E$1004,"Entrada",$A$5:$A$1004,"&lt;="&amp;A239)-SUMIFS($F$5:$F$1004,$C$5:$C$1004,C239,$E$5:$E$1004,"Saída",$A$5:$A$1004,"&lt;="&amp;A239),""))</f>
        <v/>
      </c>
      <c r="J239" s="68">
        <f>IF(A239="","",A239+ROW()/100000)</f>
        <v/>
      </c>
    </row>
    <row r="240">
      <c r="A240" s="65" t="n"/>
      <c r="B240" s="58" t="n"/>
      <c r="C240" s="58" t="n"/>
      <c r="D240" s="66">
        <f>IF(C240="","",IFERROR(INDEX('Produtos'!$B$5:$B$204,MATCH(C240,'Produtos'!$A$5:$A$204,0)),"Código não cadastrado"))</f>
        <v/>
      </c>
      <c r="E240" s="58" t="n"/>
      <c r="F240" s="61" t="n"/>
      <c r="G240" s="59" t="n"/>
      <c r="H240" s="59" t="n"/>
      <c r="I240" s="67">
        <f>IF(OR(A240="",C240=""),"",IFERROR(INDEX('Produtos'!$F$5:$F$204,MATCH(C240,'Produtos'!$A$5:$A$204,0))+SUMIFS($F$5:$F$1004,$C$5:$C$1004,C240,$E$5:$E$1004,"Entrada",$A$5:$A$1004,"&lt;="&amp;A240)-SUMIFS($F$5:$F$1004,$C$5:$C$1004,C240,$E$5:$E$1004,"Saída",$A$5:$A$1004,"&lt;="&amp;A240),""))</f>
        <v/>
      </c>
      <c r="J240" s="68">
        <f>IF(A240="","",A240+ROW()/100000)</f>
        <v/>
      </c>
    </row>
    <row r="241">
      <c r="A241" s="65" t="n"/>
      <c r="B241" s="58" t="n"/>
      <c r="C241" s="58" t="n"/>
      <c r="D241" s="66">
        <f>IF(C241="","",IFERROR(INDEX('Produtos'!$B$5:$B$204,MATCH(C241,'Produtos'!$A$5:$A$204,0)),"Código não cadastrado"))</f>
        <v/>
      </c>
      <c r="E241" s="58" t="n"/>
      <c r="F241" s="61" t="n"/>
      <c r="G241" s="59" t="n"/>
      <c r="H241" s="59" t="n"/>
      <c r="I241" s="67">
        <f>IF(OR(A241="",C241=""),"",IFERROR(INDEX('Produtos'!$F$5:$F$204,MATCH(C241,'Produtos'!$A$5:$A$204,0))+SUMIFS($F$5:$F$1004,$C$5:$C$1004,C241,$E$5:$E$1004,"Entrada",$A$5:$A$1004,"&lt;="&amp;A241)-SUMIFS($F$5:$F$1004,$C$5:$C$1004,C241,$E$5:$E$1004,"Saída",$A$5:$A$1004,"&lt;="&amp;A241),""))</f>
        <v/>
      </c>
      <c r="J241" s="68">
        <f>IF(A241="","",A241+ROW()/100000)</f>
        <v/>
      </c>
    </row>
    <row r="242">
      <c r="A242" s="65" t="n"/>
      <c r="B242" s="58" t="n"/>
      <c r="C242" s="58" t="n"/>
      <c r="D242" s="66">
        <f>IF(C242="","",IFERROR(INDEX('Produtos'!$B$5:$B$204,MATCH(C242,'Produtos'!$A$5:$A$204,0)),"Código não cadastrado"))</f>
        <v/>
      </c>
      <c r="E242" s="58" t="n"/>
      <c r="F242" s="61" t="n"/>
      <c r="G242" s="59" t="n"/>
      <c r="H242" s="59" t="n"/>
      <c r="I242" s="67">
        <f>IF(OR(A242="",C242=""),"",IFERROR(INDEX('Produtos'!$F$5:$F$204,MATCH(C242,'Produtos'!$A$5:$A$204,0))+SUMIFS($F$5:$F$1004,$C$5:$C$1004,C242,$E$5:$E$1004,"Entrada",$A$5:$A$1004,"&lt;="&amp;A242)-SUMIFS($F$5:$F$1004,$C$5:$C$1004,C242,$E$5:$E$1004,"Saída",$A$5:$A$1004,"&lt;="&amp;A242),""))</f>
        <v/>
      </c>
      <c r="J242" s="68">
        <f>IF(A242="","",A242+ROW()/100000)</f>
        <v/>
      </c>
    </row>
    <row r="243">
      <c r="A243" s="65" t="n"/>
      <c r="B243" s="58" t="n"/>
      <c r="C243" s="58" t="n"/>
      <c r="D243" s="66">
        <f>IF(C243="","",IFERROR(INDEX('Produtos'!$B$5:$B$204,MATCH(C243,'Produtos'!$A$5:$A$204,0)),"Código não cadastrado"))</f>
        <v/>
      </c>
      <c r="E243" s="58" t="n"/>
      <c r="F243" s="61" t="n"/>
      <c r="G243" s="59" t="n"/>
      <c r="H243" s="59" t="n"/>
      <c r="I243" s="67">
        <f>IF(OR(A243="",C243=""),"",IFERROR(INDEX('Produtos'!$F$5:$F$204,MATCH(C243,'Produtos'!$A$5:$A$204,0))+SUMIFS($F$5:$F$1004,$C$5:$C$1004,C243,$E$5:$E$1004,"Entrada",$A$5:$A$1004,"&lt;="&amp;A243)-SUMIFS($F$5:$F$1004,$C$5:$C$1004,C243,$E$5:$E$1004,"Saída",$A$5:$A$1004,"&lt;="&amp;A243),""))</f>
        <v/>
      </c>
      <c r="J243" s="68">
        <f>IF(A243="","",A243+ROW()/100000)</f>
        <v/>
      </c>
    </row>
    <row r="244">
      <c r="A244" s="65" t="n"/>
      <c r="B244" s="58" t="n"/>
      <c r="C244" s="58" t="n"/>
      <c r="D244" s="66">
        <f>IF(C244="","",IFERROR(INDEX('Produtos'!$B$5:$B$204,MATCH(C244,'Produtos'!$A$5:$A$204,0)),"Código não cadastrado"))</f>
        <v/>
      </c>
      <c r="E244" s="58" t="n"/>
      <c r="F244" s="61" t="n"/>
      <c r="G244" s="59" t="n"/>
      <c r="H244" s="59" t="n"/>
      <c r="I244" s="67">
        <f>IF(OR(A244="",C244=""),"",IFERROR(INDEX('Produtos'!$F$5:$F$204,MATCH(C244,'Produtos'!$A$5:$A$204,0))+SUMIFS($F$5:$F$1004,$C$5:$C$1004,C244,$E$5:$E$1004,"Entrada",$A$5:$A$1004,"&lt;="&amp;A244)-SUMIFS($F$5:$F$1004,$C$5:$C$1004,C244,$E$5:$E$1004,"Saída",$A$5:$A$1004,"&lt;="&amp;A244),""))</f>
        <v/>
      </c>
      <c r="J244" s="68">
        <f>IF(A244="","",A244+ROW()/100000)</f>
        <v/>
      </c>
    </row>
    <row r="245">
      <c r="A245" s="65" t="n"/>
      <c r="B245" s="58" t="n"/>
      <c r="C245" s="58" t="n"/>
      <c r="D245" s="66">
        <f>IF(C245="","",IFERROR(INDEX('Produtos'!$B$5:$B$204,MATCH(C245,'Produtos'!$A$5:$A$204,0)),"Código não cadastrado"))</f>
        <v/>
      </c>
      <c r="E245" s="58" t="n"/>
      <c r="F245" s="61" t="n"/>
      <c r="G245" s="59" t="n"/>
      <c r="H245" s="59" t="n"/>
      <c r="I245" s="67">
        <f>IF(OR(A245="",C245=""),"",IFERROR(INDEX('Produtos'!$F$5:$F$204,MATCH(C245,'Produtos'!$A$5:$A$204,0))+SUMIFS($F$5:$F$1004,$C$5:$C$1004,C245,$E$5:$E$1004,"Entrada",$A$5:$A$1004,"&lt;="&amp;A245)-SUMIFS($F$5:$F$1004,$C$5:$C$1004,C245,$E$5:$E$1004,"Saída",$A$5:$A$1004,"&lt;="&amp;A245),""))</f>
        <v/>
      </c>
      <c r="J245" s="68">
        <f>IF(A245="","",A245+ROW()/100000)</f>
        <v/>
      </c>
    </row>
    <row r="246">
      <c r="A246" s="65" t="n"/>
      <c r="B246" s="58" t="n"/>
      <c r="C246" s="58" t="n"/>
      <c r="D246" s="66">
        <f>IF(C246="","",IFERROR(INDEX('Produtos'!$B$5:$B$204,MATCH(C246,'Produtos'!$A$5:$A$204,0)),"Código não cadastrado"))</f>
        <v/>
      </c>
      <c r="E246" s="58" t="n"/>
      <c r="F246" s="61" t="n"/>
      <c r="G246" s="59" t="n"/>
      <c r="H246" s="59" t="n"/>
      <c r="I246" s="67">
        <f>IF(OR(A246="",C246=""),"",IFERROR(INDEX('Produtos'!$F$5:$F$204,MATCH(C246,'Produtos'!$A$5:$A$204,0))+SUMIFS($F$5:$F$1004,$C$5:$C$1004,C246,$E$5:$E$1004,"Entrada",$A$5:$A$1004,"&lt;="&amp;A246)-SUMIFS($F$5:$F$1004,$C$5:$C$1004,C246,$E$5:$E$1004,"Saída",$A$5:$A$1004,"&lt;="&amp;A246),""))</f>
        <v/>
      </c>
      <c r="J246" s="68">
        <f>IF(A246="","",A246+ROW()/100000)</f>
        <v/>
      </c>
    </row>
    <row r="247">
      <c r="A247" s="65" t="n"/>
      <c r="B247" s="58" t="n"/>
      <c r="C247" s="58" t="n"/>
      <c r="D247" s="66">
        <f>IF(C247="","",IFERROR(INDEX('Produtos'!$B$5:$B$204,MATCH(C247,'Produtos'!$A$5:$A$204,0)),"Código não cadastrado"))</f>
        <v/>
      </c>
      <c r="E247" s="58" t="n"/>
      <c r="F247" s="61" t="n"/>
      <c r="G247" s="59" t="n"/>
      <c r="H247" s="59" t="n"/>
      <c r="I247" s="67">
        <f>IF(OR(A247="",C247=""),"",IFERROR(INDEX('Produtos'!$F$5:$F$204,MATCH(C247,'Produtos'!$A$5:$A$204,0))+SUMIFS($F$5:$F$1004,$C$5:$C$1004,C247,$E$5:$E$1004,"Entrada",$A$5:$A$1004,"&lt;="&amp;A247)-SUMIFS($F$5:$F$1004,$C$5:$C$1004,C247,$E$5:$E$1004,"Saída",$A$5:$A$1004,"&lt;="&amp;A247),""))</f>
        <v/>
      </c>
      <c r="J247" s="68">
        <f>IF(A247="","",A247+ROW()/100000)</f>
        <v/>
      </c>
    </row>
    <row r="248">
      <c r="A248" s="65" t="n"/>
      <c r="B248" s="58" t="n"/>
      <c r="C248" s="58" t="n"/>
      <c r="D248" s="66">
        <f>IF(C248="","",IFERROR(INDEX('Produtos'!$B$5:$B$204,MATCH(C248,'Produtos'!$A$5:$A$204,0)),"Código não cadastrado"))</f>
        <v/>
      </c>
      <c r="E248" s="58" t="n"/>
      <c r="F248" s="61" t="n"/>
      <c r="G248" s="59" t="n"/>
      <c r="H248" s="59" t="n"/>
      <c r="I248" s="67">
        <f>IF(OR(A248="",C248=""),"",IFERROR(INDEX('Produtos'!$F$5:$F$204,MATCH(C248,'Produtos'!$A$5:$A$204,0))+SUMIFS($F$5:$F$1004,$C$5:$C$1004,C248,$E$5:$E$1004,"Entrada",$A$5:$A$1004,"&lt;="&amp;A248)-SUMIFS($F$5:$F$1004,$C$5:$C$1004,C248,$E$5:$E$1004,"Saída",$A$5:$A$1004,"&lt;="&amp;A248),""))</f>
        <v/>
      </c>
      <c r="J248" s="68">
        <f>IF(A248="","",A248+ROW()/100000)</f>
        <v/>
      </c>
    </row>
    <row r="249">
      <c r="A249" s="65" t="n"/>
      <c r="B249" s="58" t="n"/>
      <c r="C249" s="58" t="n"/>
      <c r="D249" s="66">
        <f>IF(C249="","",IFERROR(INDEX('Produtos'!$B$5:$B$204,MATCH(C249,'Produtos'!$A$5:$A$204,0)),"Código não cadastrado"))</f>
        <v/>
      </c>
      <c r="E249" s="58" t="n"/>
      <c r="F249" s="61" t="n"/>
      <c r="G249" s="59" t="n"/>
      <c r="H249" s="59" t="n"/>
      <c r="I249" s="67">
        <f>IF(OR(A249="",C249=""),"",IFERROR(INDEX('Produtos'!$F$5:$F$204,MATCH(C249,'Produtos'!$A$5:$A$204,0))+SUMIFS($F$5:$F$1004,$C$5:$C$1004,C249,$E$5:$E$1004,"Entrada",$A$5:$A$1004,"&lt;="&amp;A249)-SUMIFS($F$5:$F$1004,$C$5:$C$1004,C249,$E$5:$E$1004,"Saída",$A$5:$A$1004,"&lt;="&amp;A249),""))</f>
        <v/>
      </c>
      <c r="J249" s="68">
        <f>IF(A249="","",A249+ROW()/100000)</f>
        <v/>
      </c>
    </row>
    <row r="250">
      <c r="A250" s="65" t="n"/>
      <c r="B250" s="58" t="n"/>
      <c r="C250" s="58" t="n"/>
      <c r="D250" s="66">
        <f>IF(C250="","",IFERROR(INDEX('Produtos'!$B$5:$B$204,MATCH(C250,'Produtos'!$A$5:$A$204,0)),"Código não cadastrado"))</f>
        <v/>
      </c>
      <c r="E250" s="58" t="n"/>
      <c r="F250" s="61" t="n"/>
      <c r="G250" s="59" t="n"/>
      <c r="H250" s="59" t="n"/>
      <c r="I250" s="67">
        <f>IF(OR(A250="",C250=""),"",IFERROR(INDEX('Produtos'!$F$5:$F$204,MATCH(C250,'Produtos'!$A$5:$A$204,0))+SUMIFS($F$5:$F$1004,$C$5:$C$1004,C250,$E$5:$E$1004,"Entrada",$A$5:$A$1004,"&lt;="&amp;A250)-SUMIFS($F$5:$F$1004,$C$5:$C$1004,C250,$E$5:$E$1004,"Saída",$A$5:$A$1004,"&lt;="&amp;A250),""))</f>
        <v/>
      </c>
      <c r="J250" s="68">
        <f>IF(A250="","",A250+ROW()/100000)</f>
        <v/>
      </c>
    </row>
    <row r="251">
      <c r="A251" s="65" t="n"/>
      <c r="B251" s="58" t="n"/>
      <c r="C251" s="58" t="n"/>
      <c r="D251" s="66">
        <f>IF(C251="","",IFERROR(INDEX('Produtos'!$B$5:$B$204,MATCH(C251,'Produtos'!$A$5:$A$204,0)),"Código não cadastrado"))</f>
        <v/>
      </c>
      <c r="E251" s="58" t="n"/>
      <c r="F251" s="61" t="n"/>
      <c r="G251" s="59" t="n"/>
      <c r="H251" s="59" t="n"/>
      <c r="I251" s="67">
        <f>IF(OR(A251="",C251=""),"",IFERROR(INDEX('Produtos'!$F$5:$F$204,MATCH(C251,'Produtos'!$A$5:$A$204,0))+SUMIFS($F$5:$F$1004,$C$5:$C$1004,C251,$E$5:$E$1004,"Entrada",$A$5:$A$1004,"&lt;="&amp;A251)-SUMIFS($F$5:$F$1004,$C$5:$C$1004,C251,$E$5:$E$1004,"Saída",$A$5:$A$1004,"&lt;="&amp;A251),""))</f>
        <v/>
      </c>
      <c r="J251" s="68">
        <f>IF(A251="","",A251+ROW()/100000)</f>
        <v/>
      </c>
    </row>
    <row r="252">
      <c r="A252" s="65" t="n"/>
      <c r="B252" s="58" t="n"/>
      <c r="C252" s="58" t="n"/>
      <c r="D252" s="66">
        <f>IF(C252="","",IFERROR(INDEX('Produtos'!$B$5:$B$204,MATCH(C252,'Produtos'!$A$5:$A$204,0)),"Código não cadastrado"))</f>
        <v/>
      </c>
      <c r="E252" s="58" t="n"/>
      <c r="F252" s="61" t="n"/>
      <c r="G252" s="59" t="n"/>
      <c r="H252" s="59" t="n"/>
      <c r="I252" s="67">
        <f>IF(OR(A252="",C252=""),"",IFERROR(INDEX('Produtos'!$F$5:$F$204,MATCH(C252,'Produtos'!$A$5:$A$204,0))+SUMIFS($F$5:$F$1004,$C$5:$C$1004,C252,$E$5:$E$1004,"Entrada",$A$5:$A$1004,"&lt;="&amp;A252)-SUMIFS($F$5:$F$1004,$C$5:$C$1004,C252,$E$5:$E$1004,"Saída",$A$5:$A$1004,"&lt;="&amp;A252),""))</f>
        <v/>
      </c>
      <c r="J252" s="68">
        <f>IF(A252="","",A252+ROW()/100000)</f>
        <v/>
      </c>
    </row>
    <row r="253">
      <c r="A253" s="65" t="n"/>
      <c r="B253" s="58" t="n"/>
      <c r="C253" s="58" t="n"/>
      <c r="D253" s="66">
        <f>IF(C253="","",IFERROR(INDEX('Produtos'!$B$5:$B$204,MATCH(C253,'Produtos'!$A$5:$A$204,0)),"Código não cadastrado"))</f>
        <v/>
      </c>
      <c r="E253" s="58" t="n"/>
      <c r="F253" s="61" t="n"/>
      <c r="G253" s="59" t="n"/>
      <c r="H253" s="59" t="n"/>
      <c r="I253" s="67">
        <f>IF(OR(A253="",C253=""),"",IFERROR(INDEX('Produtos'!$F$5:$F$204,MATCH(C253,'Produtos'!$A$5:$A$204,0))+SUMIFS($F$5:$F$1004,$C$5:$C$1004,C253,$E$5:$E$1004,"Entrada",$A$5:$A$1004,"&lt;="&amp;A253)-SUMIFS($F$5:$F$1004,$C$5:$C$1004,C253,$E$5:$E$1004,"Saída",$A$5:$A$1004,"&lt;="&amp;A253),""))</f>
        <v/>
      </c>
      <c r="J253" s="68">
        <f>IF(A253="","",A253+ROW()/100000)</f>
        <v/>
      </c>
    </row>
    <row r="254">
      <c r="A254" s="65" t="n"/>
      <c r="B254" s="58" t="n"/>
      <c r="C254" s="58" t="n"/>
      <c r="D254" s="66">
        <f>IF(C254="","",IFERROR(INDEX('Produtos'!$B$5:$B$204,MATCH(C254,'Produtos'!$A$5:$A$204,0)),"Código não cadastrado"))</f>
        <v/>
      </c>
      <c r="E254" s="58" t="n"/>
      <c r="F254" s="61" t="n"/>
      <c r="G254" s="59" t="n"/>
      <c r="H254" s="59" t="n"/>
      <c r="I254" s="67">
        <f>IF(OR(A254="",C254=""),"",IFERROR(INDEX('Produtos'!$F$5:$F$204,MATCH(C254,'Produtos'!$A$5:$A$204,0))+SUMIFS($F$5:$F$1004,$C$5:$C$1004,C254,$E$5:$E$1004,"Entrada",$A$5:$A$1004,"&lt;="&amp;A254)-SUMIFS($F$5:$F$1004,$C$5:$C$1004,C254,$E$5:$E$1004,"Saída",$A$5:$A$1004,"&lt;="&amp;A254),""))</f>
        <v/>
      </c>
      <c r="J254" s="68">
        <f>IF(A254="","",A254+ROW()/100000)</f>
        <v/>
      </c>
    </row>
    <row r="255">
      <c r="A255" s="65" t="n"/>
      <c r="B255" s="58" t="n"/>
      <c r="C255" s="58" t="n"/>
      <c r="D255" s="66">
        <f>IF(C255="","",IFERROR(INDEX('Produtos'!$B$5:$B$204,MATCH(C255,'Produtos'!$A$5:$A$204,0)),"Código não cadastrado"))</f>
        <v/>
      </c>
      <c r="E255" s="58" t="n"/>
      <c r="F255" s="61" t="n"/>
      <c r="G255" s="59" t="n"/>
      <c r="H255" s="59" t="n"/>
      <c r="I255" s="67">
        <f>IF(OR(A255="",C255=""),"",IFERROR(INDEX('Produtos'!$F$5:$F$204,MATCH(C255,'Produtos'!$A$5:$A$204,0))+SUMIFS($F$5:$F$1004,$C$5:$C$1004,C255,$E$5:$E$1004,"Entrada",$A$5:$A$1004,"&lt;="&amp;A255)-SUMIFS($F$5:$F$1004,$C$5:$C$1004,C255,$E$5:$E$1004,"Saída",$A$5:$A$1004,"&lt;="&amp;A255),""))</f>
        <v/>
      </c>
      <c r="J255" s="68">
        <f>IF(A255="","",A255+ROW()/100000)</f>
        <v/>
      </c>
    </row>
    <row r="256">
      <c r="A256" s="65" t="n"/>
      <c r="B256" s="58" t="n"/>
      <c r="C256" s="58" t="n"/>
      <c r="D256" s="66">
        <f>IF(C256="","",IFERROR(INDEX('Produtos'!$B$5:$B$204,MATCH(C256,'Produtos'!$A$5:$A$204,0)),"Código não cadastrado"))</f>
        <v/>
      </c>
      <c r="E256" s="58" t="n"/>
      <c r="F256" s="61" t="n"/>
      <c r="G256" s="59" t="n"/>
      <c r="H256" s="59" t="n"/>
      <c r="I256" s="67">
        <f>IF(OR(A256="",C256=""),"",IFERROR(INDEX('Produtos'!$F$5:$F$204,MATCH(C256,'Produtos'!$A$5:$A$204,0))+SUMIFS($F$5:$F$1004,$C$5:$C$1004,C256,$E$5:$E$1004,"Entrada",$A$5:$A$1004,"&lt;="&amp;A256)-SUMIFS($F$5:$F$1004,$C$5:$C$1004,C256,$E$5:$E$1004,"Saída",$A$5:$A$1004,"&lt;="&amp;A256),""))</f>
        <v/>
      </c>
      <c r="J256" s="68">
        <f>IF(A256="","",A256+ROW()/100000)</f>
        <v/>
      </c>
    </row>
    <row r="257">
      <c r="A257" s="65" t="n"/>
      <c r="B257" s="58" t="n"/>
      <c r="C257" s="58" t="n"/>
      <c r="D257" s="66">
        <f>IF(C257="","",IFERROR(INDEX('Produtos'!$B$5:$B$204,MATCH(C257,'Produtos'!$A$5:$A$204,0)),"Código não cadastrado"))</f>
        <v/>
      </c>
      <c r="E257" s="58" t="n"/>
      <c r="F257" s="61" t="n"/>
      <c r="G257" s="59" t="n"/>
      <c r="H257" s="59" t="n"/>
      <c r="I257" s="67">
        <f>IF(OR(A257="",C257=""),"",IFERROR(INDEX('Produtos'!$F$5:$F$204,MATCH(C257,'Produtos'!$A$5:$A$204,0))+SUMIFS($F$5:$F$1004,$C$5:$C$1004,C257,$E$5:$E$1004,"Entrada",$A$5:$A$1004,"&lt;="&amp;A257)-SUMIFS($F$5:$F$1004,$C$5:$C$1004,C257,$E$5:$E$1004,"Saída",$A$5:$A$1004,"&lt;="&amp;A257),""))</f>
        <v/>
      </c>
      <c r="J257" s="68">
        <f>IF(A257="","",A257+ROW()/100000)</f>
        <v/>
      </c>
    </row>
    <row r="258">
      <c r="A258" s="65" t="n"/>
      <c r="B258" s="58" t="n"/>
      <c r="C258" s="58" t="n"/>
      <c r="D258" s="66">
        <f>IF(C258="","",IFERROR(INDEX('Produtos'!$B$5:$B$204,MATCH(C258,'Produtos'!$A$5:$A$204,0)),"Código não cadastrado"))</f>
        <v/>
      </c>
      <c r="E258" s="58" t="n"/>
      <c r="F258" s="61" t="n"/>
      <c r="G258" s="59" t="n"/>
      <c r="H258" s="59" t="n"/>
      <c r="I258" s="67">
        <f>IF(OR(A258="",C258=""),"",IFERROR(INDEX('Produtos'!$F$5:$F$204,MATCH(C258,'Produtos'!$A$5:$A$204,0))+SUMIFS($F$5:$F$1004,$C$5:$C$1004,C258,$E$5:$E$1004,"Entrada",$A$5:$A$1004,"&lt;="&amp;A258)-SUMIFS($F$5:$F$1004,$C$5:$C$1004,C258,$E$5:$E$1004,"Saída",$A$5:$A$1004,"&lt;="&amp;A258),""))</f>
        <v/>
      </c>
      <c r="J258" s="68">
        <f>IF(A258="","",A258+ROW()/100000)</f>
        <v/>
      </c>
    </row>
    <row r="259">
      <c r="A259" s="65" t="n"/>
      <c r="B259" s="58" t="n"/>
      <c r="C259" s="58" t="n"/>
      <c r="D259" s="66">
        <f>IF(C259="","",IFERROR(INDEX('Produtos'!$B$5:$B$204,MATCH(C259,'Produtos'!$A$5:$A$204,0)),"Código não cadastrado"))</f>
        <v/>
      </c>
      <c r="E259" s="58" t="n"/>
      <c r="F259" s="61" t="n"/>
      <c r="G259" s="59" t="n"/>
      <c r="H259" s="59" t="n"/>
      <c r="I259" s="67">
        <f>IF(OR(A259="",C259=""),"",IFERROR(INDEX('Produtos'!$F$5:$F$204,MATCH(C259,'Produtos'!$A$5:$A$204,0))+SUMIFS($F$5:$F$1004,$C$5:$C$1004,C259,$E$5:$E$1004,"Entrada",$A$5:$A$1004,"&lt;="&amp;A259)-SUMIFS($F$5:$F$1004,$C$5:$C$1004,C259,$E$5:$E$1004,"Saída",$A$5:$A$1004,"&lt;="&amp;A259),""))</f>
        <v/>
      </c>
      <c r="J259" s="68">
        <f>IF(A259="","",A259+ROW()/100000)</f>
        <v/>
      </c>
    </row>
    <row r="260">
      <c r="A260" s="65" t="n"/>
      <c r="B260" s="58" t="n"/>
      <c r="C260" s="58" t="n"/>
      <c r="D260" s="66">
        <f>IF(C260="","",IFERROR(INDEX('Produtos'!$B$5:$B$204,MATCH(C260,'Produtos'!$A$5:$A$204,0)),"Código não cadastrado"))</f>
        <v/>
      </c>
      <c r="E260" s="58" t="n"/>
      <c r="F260" s="61" t="n"/>
      <c r="G260" s="59" t="n"/>
      <c r="H260" s="59" t="n"/>
      <c r="I260" s="67">
        <f>IF(OR(A260="",C260=""),"",IFERROR(INDEX('Produtos'!$F$5:$F$204,MATCH(C260,'Produtos'!$A$5:$A$204,0))+SUMIFS($F$5:$F$1004,$C$5:$C$1004,C260,$E$5:$E$1004,"Entrada",$A$5:$A$1004,"&lt;="&amp;A260)-SUMIFS($F$5:$F$1004,$C$5:$C$1004,C260,$E$5:$E$1004,"Saída",$A$5:$A$1004,"&lt;="&amp;A260),""))</f>
        <v/>
      </c>
      <c r="J260" s="68">
        <f>IF(A260="","",A260+ROW()/100000)</f>
        <v/>
      </c>
    </row>
    <row r="261">
      <c r="A261" s="65" t="n"/>
      <c r="B261" s="58" t="n"/>
      <c r="C261" s="58" t="n"/>
      <c r="D261" s="66">
        <f>IF(C261="","",IFERROR(INDEX('Produtos'!$B$5:$B$204,MATCH(C261,'Produtos'!$A$5:$A$204,0)),"Código não cadastrado"))</f>
        <v/>
      </c>
      <c r="E261" s="58" t="n"/>
      <c r="F261" s="61" t="n"/>
      <c r="G261" s="59" t="n"/>
      <c r="H261" s="59" t="n"/>
      <c r="I261" s="67">
        <f>IF(OR(A261="",C261=""),"",IFERROR(INDEX('Produtos'!$F$5:$F$204,MATCH(C261,'Produtos'!$A$5:$A$204,0))+SUMIFS($F$5:$F$1004,$C$5:$C$1004,C261,$E$5:$E$1004,"Entrada",$A$5:$A$1004,"&lt;="&amp;A261)-SUMIFS($F$5:$F$1004,$C$5:$C$1004,C261,$E$5:$E$1004,"Saída",$A$5:$A$1004,"&lt;="&amp;A261),""))</f>
        <v/>
      </c>
      <c r="J261" s="68">
        <f>IF(A261="","",A261+ROW()/100000)</f>
        <v/>
      </c>
    </row>
    <row r="262">
      <c r="A262" s="65" t="n"/>
      <c r="B262" s="58" t="n"/>
      <c r="C262" s="58" t="n"/>
      <c r="D262" s="66">
        <f>IF(C262="","",IFERROR(INDEX('Produtos'!$B$5:$B$204,MATCH(C262,'Produtos'!$A$5:$A$204,0)),"Código não cadastrado"))</f>
        <v/>
      </c>
      <c r="E262" s="58" t="n"/>
      <c r="F262" s="61" t="n"/>
      <c r="G262" s="59" t="n"/>
      <c r="H262" s="59" t="n"/>
      <c r="I262" s="67">
        <f>IF(OR(A262="",C262=""),"",IFERROR(INDEX('Produtos'!$F$5:$F$204,MATCH(C262,'Produtos'!$A$5:$A$204,0))+SUMIFS($F$5:$F$1004,$C$5:$C$1004,C262,$E$5:$E$1004,"Entrada",$A$5:$A$1004,"&lt;="&amp;A262)-SUMIFS($F$5:$F$1004,$C$5:$C$1004,C262,$E$5:$E$1004,"Saída",$A$5:$A$1004,"&lt;="&amp;A262),""))</f>
        <v/>
      </c>
      <c r="J262" s="68">
        <f>IF(A262="","",A262+ROW()/100000)</f>
        <v/>
      </c>
    </row>
    <row r="263">
      <c r="A263" s="65" t="n"/>
      <c r="B263" s="58" t="n"/>
      <c r="C263" s="58" t="n"/>
      <c r="D263" s="66">
        <f>IF(C263="","",IFERROR(INDEX('Produtos'!$B$5:$B$204,MATCH(C263,'Produtos'!$A$5:$A$204,0)),"Código não cadastrado"))</f>
        <v/>
      </c>
      <c r="E263" s="58" t="n"/>
      <c r="F263" s="61" t="n"/>
      <c r="G263" s="59" t="n"/>
      <c r="H263" s="59" t="n"/>
      <c r="I263" s="67">
        <f>IF(OR(A263="",C263=""),"",IFERROR(INDEX('Produtos'!$F$5:$F$204,MATCH(C263,'Produtos'!$A$5:$A$204,0))+SUMIFS($F$5:$F$1004,$C$5:$C$1004,C263,$E$5:$E$1004,"Entrada",$A$5:$A$1004,"&lt;="&amp;A263)-SUMIFS($F$5:$F$1004,$C$5:$C$1004,C263,$E$5:$E$1004,"Saída",$A$5:$A$1004,"&lt;="&amp;A263),""))</f>
        <v/>
      </c>
      <c r="J263" s="68">
        <f>IF(A263="","",A263+ROW()/100000)</f>
        <v/>
      </c>
    </row>
    <row r="264">
      <c r="A264" s="65" t="n"/>
      <c r="B264" s="58" t="n"/>
      <c r="C264" s="58" t="n"/>
      <c r="D264" s="66">
        <f>IF(C264="","",IFERROR(INDEX('Produtos'!$B$5:$B$204,MATCH(C264,'Produtos'!$A$5:$A$204,0)),"Código não cadastrado"))</f>
        <v/>
      </c>
      <c r="E264" s="58" t="n"/>
      <c r="F264" s="61" t="n"/>
      <c r="G264" s="59" t="n"/>
      <c r="H264" s="59" t="n"/>
      <c r="I264" s="67">
        <f>IF(OR(A264="",C264=""),"",IFERROR(INDEX('Produtos'!$F$5:$F$204,MATCH(C264,'Produtos'!$A$5:$A$204,0))+SUMIFS($F$5:$F$1004,$C$5:$C$1004,C264,$E$5:$E$1004,"Entrada",$A$5:$A$1004,"&lt;="&amp;A264)-SUMIFS($F$5:$F$1004,$C$5:$C$1004,C264,$E$5:$E$1004,"Saída",$A$5:$A$1004,"&lt;="&amp;A264),""))</f>
        <v/>
      </c>
      <c r="J264" s="68">
        <f>IF(A264="","",A264+ROW()/100000)</f>
        <v/>
      </c>
    </row>
    <row r="265">
      <c r="A265" s="65" t="n"/>
      <c r="B265" s="58" t="n"/>
      <c r="C265" s="58" t="n"/>
      <c r="D265" s="66">
        <f>IF(C265="","",IFERROR(INDEX('Produtos'!$B$5:$B$204,MATCH(C265,'Produtos'!$A$5:$A$204,0)),"Código não cadastrado"))</f>
        <v/>
      </c>
      <c r="E265" s="58" t="n"/>
      <c r="F265" s="61" t="n"/>
      <c r="G265" s="59" t="n"/>
      <c r="H265" s="59" t="n"/>
      <c r="I265" s="67">
        <f>IF(OR(A265="",C265=""),"",IFERROR(INDEX('Produtos'!$F$5:$F$204,MATCH(C265,'Produtos'!$A$5:$A$204,0))+SUMIFS($F$5:$F$1004,$C$5:$C$1004,C265,$E$5:$E$1004,"Entrada",$A$5:$A$1004,"&lt;="&amp;A265)-SUMIFS($F$5:$F$1004,$C$5:$C$1004,C265,$E$5:$E$1004,"Saída",$A$5:$A$1004,"&lt;="&amp;A265),""))</f>
        <v/>
      </c>
      <c r="J265" s="68">
        <f>IF(A265="","",A265+ROW()/100000)</f>
        <v/>
      </c>
    </row>
    <row r="266">
      <c r="A266" s="65" t="n"/>
      <c r="B266" s="58" t="n"/>
      <c r="C266" s="58" t="n"/>
      <c r="D266" s="66">
        <f>IF(C266="","",IFERROR(INDEX('Produtos'!$B$5:$B$204,MATCH(C266,'Produtos'!$A$5:$A$204,0)),"Código não cadastrado"))</f>
        <v/>
      </c>
      <c r="E266" s="58" t="n"/>
      <c r="F266" s="61" t="n"/>
      <c r="G266" s="59" t="n"/>
      <c r="H266" s="59" t="n"/>
      <c r="I266" s="67">
        <f>IF(OR(A266="",C266=""),"",IFERROR(INDEX('Produtos'!$F$5:$F$204,MATCH(C266,'Produtos'!$A$5:$A$204,0))+SUMIFS($F$5:$F$1004,$C$5:$C$1004,C266,$E$5:$E$1004,"Entrada",$A$5:$A$1004,"&lt;="&amp;A266)-SUMIFS($F$5:$F$1004,$C$5:$C$1004,C266,$E$5:$E$1004,"Saída",$A$5:$A$1004,"&lt;="&amp;A266),""))</f>
        <v/>
      </c>
      <c r="J266" s="68">
        <f>IF(A266="","",A266+ROW()/100000)</f>
        <v/>
      </c>
    </row>
    <row r="267">
      <c r="A267" s="65" t="n"/>
      <c r="B267" s="58" t="n"/>
      <c r="C267" s="58" t="n"/>
      <c r="D267" s="66">
        <f>IF(C267="","",IFERROR(INDEX('Produtos'!$B$5:$B$204,MATCH(C267,'Produtos'!$A$5:$A$204,0)),"Código não cadastrado"))</f>
        <v/>
      </c>
      <c r="E267" s="58" t="n"/>
      <c r="F267" s="61" t="n"/>
      <c r="G267" s="59" t="n"/>
      <c r="H267" s="59" t="n"/>
      <c r="I267" s="67">
        <f>IF(OR(A267="",C267=""),"",IFERROR(INDEX('Produtos'!$F$5:$F$204,MATCH(C267,'Produtos'!$A$5:$A$204,0))+SUMIFS($F$5:$F$1004,$C$5:$C$1004,C267,$E$5:$E$1004,"Entrada",$A$5:$A$1004,"&lt;="&amp;A267)-SUMIFS($F$5:$F$1004,$C$5:$C$1004,C267,$E$5:$E$1004,"Saída",$A$5:$A$1004,"&lt;="&amp;A267),""))</f>
        <v/>
      </c>
      <c r="J267" s="68">
        <f>IF(A267="","",A267+ROW()/100000)</f>
        <v/>
      </c>
    </row>
    <row r="268">
      <c r="A268" s="65" t="n"/>
      <c r="B268" s="58" t="n"/>
      <c r="C268" s="58" t="n"/>
      <c r="D268" s="66">
        <f>IF(C268="","",IFERROR(INDEX('Produtos'!$B$5:$B$204,MATCH(C268,'Produtos'!$A$5:$A$204,0)),"Código não cadastrado"))</f>
        <v/>
      </c>
      <c r="E268" s="58" t="n"/>
      <c r="F268" s="61" t="n"/>
      <c r="G268" s="59" t="n"/>
      <c r="H268" s="59" t="n"/>
      <c r="I268" s="67">
        <f>IF(OR(A268="",C268=""),"",IFERROR(INDEX('Produtos'!$F$5:$F$204,MATCH(C268,'Produtos'!$A$5:$A$204,0))+SUMIFS($F$5:$F$1004,$C$5:$C$1004,C268,$E$5:$E$1004,"Entrada",$A$5:$A$1004,"&lt;="&amp;A268)-SUMIFS($F$5:$F$1004,$C$5:$C$1004,C268,$E$5:$E$1004,"Saída",$A$5:$A$1004,"&lt;="&amp;A268),""))</f>
        <v/>
      </c>
      <c r="J268" s="68">
        <f>IF(A268="","",A268+ROW()/100000)</f>
        <v/>
      </c>
    </row>
    <row r="269">
      <c r="A269" s="65" t="n"/>
      <c r="B269" s="58" t="n"/>
      <c r="C269" s="58" t="n"/>
      <c r="D269" s="66">
        <f>IF(C269="","",IFERROR(INDEX('Produtos'!$B$5:$B$204,MATCH(C269,'Produtos'!$A$5:$A$204,0)),"Código não cadastrado"))</f>
        <v/>
      </c>
      <c r="E269" s="58" t="n"/>
      <c r="F269" s="61" t="n"/>
      <c r="G269" s="59" t="n"/>
      <c r="H269" s="59" t="n"/>
      <c r="I269" s="67">
        <f>IF(OR(A269="",C269=""),"",IFERROR(INDEX('Produtos'!$F$5:$F$204,MATCH(C269,'Produtos'!$A$5:$A$204,0))+SUMIFS($F$5:$F$1004,$C$5:$C$1004,C269,$E$5:$E$1004,"Entrada",$A$5:$A$1004,"&lt;="&amp;A269)-SUMIFS($F$5:$F$1004,$C$5:$C$1004,C269,$E$5:$E$1004,"Saída",$A$5:$A$1004,"&lt;="&amp;A269),""))</f>
        <v/>
      </c>
      <c r="J269" s="68">
        <f>IF(A269="","",A269+ROW()/100000)</f>
        <v/>
      </c>
    </row>
    <row r="270">
      <c r="A270" s="65" t="n"/>
      <c r="B270" s="58" t="n"/>
      <c r="C270" s="58" t="n"/>
      <c r="D270" s="66">
        <f>IF(C270="","",IFERROR(INDEX('Produtos'!$B$5:$B$204,MATCH(C270,'Produtos'!$A$5:$A$204,0)),"Código não cadastrado"))</f>
        <v/>
      </c>
      <c r="E270" s="58" t="n"/>
      <c r="F270" s="61" t="n"/>
      <c r="G270" s="59" t="n"/>
      <c r="H270" s="59" t="n"/>
      <c r="I270" s="67">
        <f>IF(OR(A270="",C270=""),"",IFERROR(INDEX('Produtos'!$F$5:$F$204,MATCH(C270,'Produtos'!$A$5:$A$204,0))+SUMIFS($F$5:$F$1004,$C$5:$C$1004,C270,$E$5:$E$1004,"Entrada",$A$5:$A$1004,"&lt;="&amp;A270)-SUMIFS($F$5:$F$1004,$C$5:$C$1004,C270,$E$5:$E$1004,"Saída",$A$5:$A$1004,"&lt;="&amp;A270),""))</f>
        <v/>
      </c>
      <c r="J270" s="68">
        <f>IF(A270="","",A270+ROW()/100000)</f>
        <v/>
      </c>
    </row>
    <row r="271">
      <c r="A271" s="65" t="n"/>
      <c r="B271" s="58" t="n"/>
      <c r="C271" s="58" t="n"/>
      <c r="D271" s="66">
        <f>IF(C271="","",IFERROR(INDEX('Produtos'!$B$5:$B$204,MATCH(C271,'Produtos'!$A$5:$A$204,0)),"Código não cadastrado"))</f>
        <v/>
      </c>
      <c r="E271" s="58" t="n"/>
      <c r="F271" s="61" t="n"/>
      <c r="G271" s="59" t="n"/>
      <c r="H271" s="59" t="n"/>
      <c r="I271" s="67">
        <f>IF(OR(A271="",C271=""),"",IFERROR(INDEX('Produtos'!$F$5:$F$204,MATCH(C271,'Produtos'!$A$5:$A$204,0))+SUMIFS($F$5:$F$1004,$C$5:$C$1004,C271,$E$5:$E$1004,"Entrada",$A$5:$A$1004,"&lt;="&amp;A271)-SUMIFS($F$5:$F$1004,$C$5:$C$1004,C271,$E$5:$E$1004,"Saída",$A$5:$A$1004,"&lt;="&amp;A271),""))</f>
        <v/>
      </c>
      <c r="J271" s="68">
        <f>IF(A271="","",A271+ROW()/100000)</f>
        <v/>
      </c>
    </row>
    <row r="272">
      <c r="A272" s="65" t="n"/>
      <c r="B272" s="58" t="n"/>
      <c r="C272" s="58" t="n"/>
      <c r="D272" s="66">
        <f>IF(C272="","",IFERROR(INDEX('Produtos'!$B$5:$B$204,MATCH(C272,'Produtos'!$A$5:$A$204,0)),"Código não cadastrado"))</f>
        <v/>
      </c>
      <c r="E272" s="58" t="n"/>
      <c r="F272" s="61" t="n"/>
      <c r="G272" s="59" t="n"/>
      <c r="H272" s="59" t="n"/>
      <c r="I272" s="67">
        <f>IF(OR(A272="",C272=""),"",IFERROR(INDEX('Produtos'!$F$5:$F$204,MATCH(C272,'Produtos'!$A$5:$A$204,0))+SUMIFS($F$5:$F$1004,$C$5:$C$1004,C272,$E$5:$E$1004,"Entrada",$A$5:$A$1004,"&lt;="&amp;A272)-SUMIFS($F$5:$F$1004,$C$5:$C$1004,C272,$E$5:$E$1004,"Saída",$A$5:$A$1004,"&lt;="&amp;A272),""))</f>
        <v/>
      </c>
      <c r="J272" s="68">
        <f>IF(A272="","",A272+ROW()/100000)</f>
        <v/>
      </c>
    </row>
    <row r="273">
      <c r="A273" s="65" t="n"/>
      <c r="B273" s="58" t="n"/>
      <c r="C273" s="58" t="n"/>
      <c r="D273" s="66">
        <f>IF(C273="","",IFERROR(INDEX('Produtos'!$B$5:$B$204,MATCH(C273,'Produtos'!$A$5:$A$204,0)),"Código não cadastrado"))</f>
        <v/>
      </c>
      <c r="E273" s="58" t="n"/>
      <c r="F273" s="61" t="n"/>
      <c r="G273" s="59" t="n"/>
      <c r="H273" s="59" t="n"/>
      <c r="I273" s="67">
        <f>IF(OR(A273="",C273=""),"",IFERROR(INDEX('Produtos'!$F$5:$F$204,MATCH(C273,'Produtos'!$A$5:$A$204,0))+SUMIFS($F$5:$F$1004,$C$5:$C$1004,C273,$E$5:$E$1004,"Entrada",$A$5:$A$1004,"&lt;="&amp;A273)-SUMIFS($F$5:$F$1004,$C$5:$C$1004,C273,$E$5:$E$1004,"Saída",$A$5:$A$1004,"&lt;="&amp;A273),""))</f>
        <v/>
      </c>
      <c r="J273" s="68">
        <f>IF(A273="","",A273+ROW()/100000)</f>
        <v/>
      </c>
    </row>
    <row r="274">
      <c r="A274" s="65" t="n"/>
      <c r="B274" s="58" t="n"/>
      <c r="C274" s="58" t="n"/>
      <c r="D274" s="66">
        <f>IF(C274="","",IFERROR(INDEX('Produtos'!$B$5:$B$204,MATCH(C274,'Produtos'!$A$5:$A$204,0)),"Código não cadastrado"))</f>
        <v/>
      </c>
      <c r="E274" s="58" t="n"/>
      <c r="F274" s="61" t="n"/>
      <c r="G274" s="59" t="n"/>
      <c r="H274" s="59" t="n"/>
      <c r="I274" s="67">
        <f>IF(OR(A274="",C274=""),"",IFERROR(INDEX('Produtos'!$F$5:$F$204,MATCH(C274,'Produtos'!$A$5:$A$204,0))+SUMIFS($F$5:$F$1004,$C$5:$C$1004,C274,$E$5:$E$1004,"Entrada",$A$5:$A$1004,"&lt;="&amp;A274)-SUMIFS($F$5:$F$1004,$C$5:$C$1004,C274,$E$5:$E$1004,"Saída",$A$5:$A$1004,"&lt;="&amp;A274),""))</f>
        <v/>
      </c>
      <c r="J274" s="68">
        <f>IF(A274="","",A274+ROW()/100000)</f>
        <v/>
      </c>
    </row>
    <row r="275">
      <c r="A275" s="65" t="n"/>
      <c r="B275" s="58" t="n"/>
      <c r="C275" s="58" t="n"/>
      <c r="D275" s="66">
        <f>IF(C275="","",IFERROR(INDEX('Produtos'!$B$5:$B$204,MATCH(C275,'Produtos'!$A$5:$A$204,0)),"Código não cadastrado"))</f>
        <v/>
      </c>
      <c r="E275" s="58" t="n"/>
      <c r="F275" s="61" t="n"/>
      <c r="G275" s="59" t="n"/>
      <c r="H275" s="59" t="n"/>
      <c r="I275" s="67">
        <f>IF(OR(A275="",C275=""),"",IFERROR(INDEX('Produtos'!$F$5:$F$204,MATCH(C275,'Produtos'!$A$5:$A$204,0))+SUMIFS($F$5:$F$1004,$C$5:$C$1004,C275,$E$5:$E$1004,"Entrada",$A$5:$A$1004,"&lt;="&amp;A275)-SUMIFS($F$5:$F$1004,$C$5:$C$1004,C275,$E$5:$E$1004,"Saída",$A$5:$A$1004,"&lt;="&amp;A275),""))</f>
        <v/>
      </c>
      <c r="J275" s="68">
        <f>IF(A275="","",A275+ROW()/100000)</f>
        <v/>
      </c>
    </row>
    <row r="276">
      <c r="A276" s="65" t="n"/>
      <c r="B276" s="58" t="n"/>
      <c r="C276" s="58" t="n"/>
      <c r="D276" s="66">
        <f>IF(C276="","",IFERROR(INDEX('Produtos'!$B$5:$B$204,MATCH(C276,'Produtos'!$A$5:$A$204,0)),"Código não cadastrado"))</f>
        <v/>
      </c>
      <c r="E276" s="58" t="n"/>
      <c r="F276" s="61" t="n"/>
      <c r="G276" s="59" t="n"/>
      <c r="H276" s="59" t="n"/>
      <c r="I276" s="67">
        <f>IF(OR(A276="",C276=""),"",IFERROR(INDEX('Produtos'!$F$5:$F$204,MATCH(C276,'Produtos'!$A$5:$A$204,0))+SUMIFS($F$5:$F$1004,$C$5:$C$1004,C276,$E$5:$E$1004,"Entrada",$A$5:$A$1004,"&lt;="&amp;A276)-SUMIFS($F$5:$F$1004,$C$5:$C$1004,C276,$E$5:$E$1004,"Saída",$A$5:$A$1004,"&lt;="&amp;A276),""))</f>
        <v/>
      </c>
      <c r="J276" s="68">
        <f>IF(A276="","",A276+ROW()/100000)</f>
        <v/>
      </c>
    </row>
    <row r="277">
      <c r="A277" s="65" t="n"/>
      <c r="B277" s="58" t="n"/>
      <c r="C277" s="58" t="n"/>
      <c r="D277" s="66">
        <f>IF(C277="","",IFERROR(INDEX('Produtos'!$B$5:$B$204,MATCH(C277,'Produtos'!$A$5:$A$204,0)),"Código não cadastrado"))</f>
        <v/>
      </c>
      <c r="E277" s="58" t="n"/>
      <c r="F277" s="61" t="n"/>
      <c r="G277" s="59" t="n"/>
      <c r="H277" s="59" t="n"/>
      <c r="I277" s="67">
        <f>IF(OR(A277="",C277=""),"",IFERROR(INDEX('Produtos'!$F$5:$F$204,MATCH(C277,'Produtos'!$A$5:$A$204,0))+SUMIFS($F$5:$F$1004,$C$5:$C$1004,C277,$E$5:$E$1004,"Entrada",$A$5:$A$1004,"&lt;="&amp;A277)-SUMIFS($F$5:$F$1004,$C$5:$C$1004,C277,$E$5:$E$1004,"Saída",$A$5:$A$1004,"&lt;="&amp;A277),""))</f>
        <v/>
      </c>
      <c r="J277" s="68">
        <f>IF(A277="","",A277+ROW()/100000)</f>
        <v/>
      </c>
    </row>
    <row r="278">
      <c r="A278" s="65" t="n"/>
      <c r="B278" s="58" t="n"/>
      <c r="C278" s="58" t="n"/>
      <c r="D278" s="66">
        <f>IF(C278="","",IFERROR(INDEX('Produtos'!$B$5:$B$204,MATCH(C278,'Produtos'!$A$5:$A$204,0)),"Código não cadastrado"))</f>
        <v/>
      </c>
      <c r="E278" s="58" t="n"/>
      <c r="F278" s="61" t="n"/>
      <c r="G278" s="59" t="n"/>
      <c r="H278" s="59" t="n"/>
      <c r="I278" s="67">
        <f>IF(OR(A278="",C278=""),"",IFERROR(INDEX('Produtos'!$F$5:$F$204,MATCH(C278,'Produtos'!$A$5:$A$204,0))+SUMIFS($F$5:$F$1004,$C$5:$C$1004,C278,$E$5:$E$1004,"Entrada",$A$5:$A$1004,"&lt;="&amp;A278)-SUMIFS($F$5:$F$1004,$C$5:$C$1004,C278,$E$5:$E$1004,"Saída",$A$5:$A$1004,"&lt;="&amp;A278),""))</f>
        <v/>
      </c>
      <c r="J278" s="68">
        <f>IF(A278="","",A278+ROW()/100000)</f>
        <v/>
      </c>
    </row>
    <row r="279">
      <c r="A279" s="65" t="n"/>
      <c r="B279" s="58" t="n"/>
      <c r="C279" s="58" t="n"/>
      <c r="D279" s="66">
        <f>IF(C279="","",IFERROR(INDEX('Produtos'!$B$5:$B$204,MATCH(C279,'Produtos'!$A$5:$A$204,0)),"Código não cadastrado"))</f>
        <v/>
      </c>
      <c r="E279" s="58" t="n"/>
      <c r="F279" s="61" t="n"/>
      <c r="G279" s="59" t="n"/>
      <c r="H279" s="59" t="n"/>
      <c r="I279" s="67">
        <f>IF(OR(A279="",C279=""),"",IFERROR(INDEX('Produtos'!$F$5:$F$204,MATCH(C279,'Produtos'!$A$5:$A$204,0))+SUMIFS($F$5:$F$1004,$C$5:$C$1004,C279,$E$5:$E$1004,"Entrada",$A$5:$A$1004,"&lt;="&amp;A279)-SUMIFS($F$5:$F$1004,$C$5:$C$1004,C279,$E$5:$E$1004,"Saída",$A$5:$A$1004,"&lt;="&amp;A279),""))</f>
        <v/>
      </c>
      <c r="J279" s="68">
        <f>IF(A279="","",A279+ROW()/100000)</f>
        <v/>
      </c>
    </row>
    <row r="280">
      <c r="A280" s="65" t="n"/>
      <c r="B280" s="58" t="n"/>
      <c r="C280" s="58" t="n"/>
      <c r="D280" s="66">
        <f>IF(C280="","",IFERROR(INDEX('Produtos'!$B$5:$B$204,MATCH(C280,'Produtos'!$A$5:$A$204,0)),"Código não cadastrado"))</f>
        <v/>
      </c>
      <c r="E280" s="58" t="n"/>
      <c r="F280" s="61" t="n"/>
      <c r="G280" s="59" t="n"/>
      <c r="H280" s="59" t="n"/>
      <c r="I280" s="67">
        <f>IF(OR(A280="",C280=""),"",IFERROR(INDEX('Produtos'!$F$5:$F$204,MATCH(C280,'Produtos'!$A$5:$A$204,0))+SUMIFS($F$5:$F$1004,$C$5:$C$1004,C280,$E$5:$E$1004,"Entrada",$A$5:$A$1004,"&lt;="&amp;A280)-SUMIFS($F$5:$F$1004,$C$5:$C$1004,C280,$E$5:$E$1004,"Saída",$A$5:$A$1004,"&lt;="&amp;A280),""))</f>
        <v/>
      </c>
      <c r="J280" s="68">
        <f>IF(A280="","",A280+ROW()/100000)</f>
        <v/>
      </c>
    </row>
    <row r="281">
      <c r="A281" s="65" t="n"/>
      <c r="B281" s="58" t="n"/>
      <c r="C281" s="58" t="n"/>
      <c r="D281" s="66">
        <f>IF(C281="","",IFERROR(INDEX('Produtos'!$B$5:$B$204,MATCH(C281,'Produtos'!$A$5:$A$204,0)),"Código não cadastrado"))</f>
        <v/>
      </c>
      <c r="E281" s="58" t="n"/>
      <c r="F281" s="61" t="n"/>
      <c r="G281" s="59" t="n"/>
      <c r="H281" s="59" t="n"/>
      <c r="I281" s="67">
        <f>IF(OR(A281="",C281=""),"",IFERROR(INDEX('Produtos'!$F$5:$F$204,MATCH(C281,'Produtos'!$A$5:$A$204,0))+SUMIFS($F$5:$F$1004,$C$5:$C$1004,C281,$E$5:$E$1004,"Entrada",$A$5:$A$1004,"&lt;="&amp;A281)-SUMIFS($F$5:$F$1004,$C$5:$C$1004,C281,$E$5:$E$1004,"Saída",$A$5:$A$1004,"&lt;="&amp;A281),""))</f>
        <v/>
      </c>
      <c r="J281" s="68">
        <f>IF(A281="","",A281+ROW()/100000)</f>
        <v/>
      </c>
    </row>
    <row r="282">
      <c r="A282" s="65" t="n"/>
      <c r="B282" s="58" t="n"/>
      <c r="C282" s="58" t="n"/>
      <c r="D282" s="66">
        <f>IF(C282="","",IFERROR(INDEX('Produtos'!$B$5:$B$204,MATCH(C282,'Produtos'!$A$5:$A$204,0)),"Código não cadastrado"))</f>
        <v/>
      </c>
      <c r="E282" s="58" t="n"/>
      <c r="F282" s="61" t="n"/>
      <c r="G282" s="59" t="n"/>
      <c r="H282" s="59" t="n"/>
      <c r="I282" s="67">
        <f>IF(OR(A282="",C282=""),"",IFERROR(INDEX('Produtos'!$F$5:$F$204,MATCH(C282,'Produtos'!$A$5:$A$204,0))+SUMIFS($F$5:$F$1004,$C$5:$C$1004,C282,$E$5:$E$1004,"Entrada",$A$5:$A$1004,"&lt;="&amp;A282)-SUMIFS($F$5:$F$1004,$C$5:$C$1004,C282,$E$5:$E$1004,"Saída",$A$5:$A$1004,"&lt;="&amp;A282),""))</f>
        <v/>
      </c>
      <c r="J282" s="68">
        <f>IF(A282="","",A282+ROW()/100000)</f>
        <v/>
      </c>
    </row>
    <row r="283">
      <c r="A283" s="65" t="n"/>
      <c r="B283" s="58" t="n"/>
      <c r="C283" s="58" t="n"/>
      <c r="D283" s="66">
        <f>IF(C283="","",IFERROR(INDEX('Produtos'!$B$5:$B$204,MATCH(C283,'Produtos'!$A$5:$A$204,0)),"Código não cadastrado"))</f>
        <v/>
      </c>
      <c r="E283" s="58" t="n"/>
      <c r="F283" s="61" t="n"/>
      <c r="G283" s="59" t="n"/>
      <c r="H283" s="59" t="n"/>
      <c r="I283" s="67">
        <f>IF(OR(A283="",C283=""),"",IFERROR(INDEX('Produtos'!$F$5:$F$204,MATCH(C283,'Produtos'!$A$5:$A$204,0))+SUMIFS($F$5:$F$1004,$C$5:$C$1004,C283,$E$5:$E$1004,"Entrada",$A$5:$A$1004,"&lt;="&amp;A283)-SUMIFS($F$5:$F$1004,$C$5:$C$1004,C283,$E$5:$E$1004,"Saída",$A$5:$A$1004,"&lt;="&amp;A283),""))</f>
        <v/>
      </c>
      <c r="J283" s="68">
        <f>IF(A283="","",A283+ROW()/100000)</f>
        <v/>
      </c>
    </row>
    <row r="284">
      <c r="A284" s="65" t="n"/>
      <c r="B284" s="58" t="n"/>
      <c r="C284" s="58" t="n"/>
      <c r="D284" s="66">
        <f>IF(C284="","",IFERROR(INDEX('Produtos'!$B$5:$B$204,MATCH(C284,'Produtos'!$A$5:$A$204,0)),"Código não cadastrado"))</f>
        <v/>
      </c>
      <c r="E284" s="58" t="n"/>
      <c r="F284" s="61" t="n"/>
      <c r="G284" s="59" t="n"/>
      <c r="H284" s="59" t="n"/>
      <c r="I284" s="67">
        <f>IF(OR(A284="",C284=""),"",IFERROR(INDEX('Produtos'!$F$5:$F$204,MATCH(C284,'Produtos'!$A$5:$A$204,0))+SUMIFS($F$5:$F$1004,$C$5:$C$1004,C284,$E$5:$E$1004,"Entrada",$A$5:$A$1004,"&lt;="&amp;A284)-SUMIFS($F$5:$F$1004,$C$5:$C$1004,C284,$E$5:$E$1004,"Saída",$A$5:$A$1004,"&lt;="&amp;A284),""))</f>
        <v/>
      </c>
      <c r="J284" s="68">
        <f>IF(A284="","",A284+ROW()/100000)</f>
        <v/>
      </c>
    </row>
    <row r="285">
      <c r="A285" s="65" t="n"/>
      <c r="B285" s="58" t="n"/>
      <c r="C285" s="58" t="n"/>
      <c r="D285" s="66">
        <f>IF(C285="","",IFERROR(INDEX('Produtos'!$B$5:$B$204,MATCH(C285,'Produtos'!$A$5:$A$204,0)),"Código não cadastrado"))</f>
        <v/>
      </c>
      <c r="E285" s="58" t="n"/>
      <c r="F285" s="61" t="n"/>
      <c r="G285" s="59" t="n"/>
      <c r="H285" s="59" t="n"/>
      <c r="I285" s="67">
        <f>IF(OR(A285="",C285=""),"",IFERROR(INDEX('Produtos'!$F$5:$F$204,MATCH(C285,'Produtos'!$A$5:$A$204,0))+SUMIFS($F$5:$F$1004,$C$5:$C$1004,C285,$E$5:$E$1004,"Entrada",$A$5:$A$1004,"&lt;="&amp;A285)-SUMIFS($F$5:$F$1004,$C$5:$C$1004,C285,$E$5:$E$1004,"Saída",$A$5:$A$1004,"&lt;="&amp;A285),""))</f>
        <v/>
      </c>
      <c r="J285" s="68">
        <f>IF(A285="","",A285+ROW()/100000)</f>
        <v/>
      </c>
    </row>
    <row r="286">
      <c r="A286" s="65" t="n"/>
      <c r="B286" s="58" t="n"/>
      <c r="C286" s="58" t="n"/>
      <c r="D286" s="66">
        <f>IF(C286="","",IFERROR(INDEX('Produtos'!$B$5:$B$204,MATCH(C286,'Produtos'!$A$5:$A$204,0)),"Código não cadastrado"))</f>
        <v/>
      </c>
      <c r="E286" s="58" t="n"/>
      <c r="F286" s="61" t="n"/>
      <c r="G286" s="59" t="n"/>
      <c r="H286" s="59" t="n"/>
      <c r="I286" s="67">
        <f>IF(OR(A286="",C286=""),"",IFERROR(INDEX('Produtos'!$F$5:$F$204,MATCH(C286,'Produtos'!$A$5:$A$204,0))+SUMIFS($F$5:$F$1004,$C$5:$C$1004,C286,$E$5:$E$1004,"Entrada",$A$5:$A$1004,"&lt;="&amp;A286)-SUMIFS($F$5:$F$1004,$C$5:$C$1004,C286,$E$5:$E$1004,"Saída",$A$5:$A$1004,"&lt;="&amp;A286),""))</f>
        <v/>
      </c>
      <c r="J286" s="68">
        <f>IF(A286="","",A286+ROW()/100000)</f>
        <v/>
      </c>
    </row>
    <row r="287">
      <c r="A287" s="65" t="n"/>
      <c r="B287" s="58" t="n"/>
      <c r="C287" s="58" t="n"/>
      <c r="D287" s="66">
        <f>IF(C287="","",IFERROR(INDEX('Produtos'!$B$5:$B$204,MATCH(C287,'Produtos'!$A$5:$A$204,0)),"Código não cadastrado"))</f>
        <v/>
      </c>
      <c r="E287" s="58" t="n"/>
      <c r="F287" s="61" t="n"/>
      <c r="G287" s="59" t="n"/>
      <c r="H287" s="59" t="n"/>
      <c r="I287" s="67">
        <f>IF(OR(A287="",C287=""),"",IFERROR(INDEX('Produtos'!$F$5:$F$204,MATCH(C287,'Produtos'!$A$5:$A$204,0))+SUMIFS($F$5:$F$1004,$C$5:$C$1004,C287,$E$5:$E$1004,"Entrada",$A$5:$A$1004,"&lt;="&amp;A287)-SUMIFS($F$5:$F$1004,$C$5:$C$1004,C287,$E$5:$E$1004,"Saída",$A$5:$A$1004,"&lt;="&amp;A287),""))</f>
        <v/>
      </c>
      <c r="J287" s="68">
        <f>IF(A287="","",A287+ROW()/100000)</f>
        <v/>
      </c>
    </row>
    <row r="288">
      <c r="A288" s="65" t="n"/>
      <c r="B288" s="58" t="n"/>
      <c r="C288" s="58" t="n"/>
      <c r="D288" s="66">
        <f>IF(C288="","",IFERROR(INDEX('Produtos'!$B$5:$B$204,MATCH(C288,'Produtos'!$A$5:$A$204,0)),"Código não cadastrado"))</f>
        <v/>
      </c>
      <c r="E288" s="58" t="n"/>
      <c r="F288" s="61" t="n"/>
      <c r="G288" s="59" t="n"/>
      <c r="H288" s="59" t="n"/>
      <c r="I288" s="67">
        <f>IF(OR(A288="",C288=""),"",IFERROR(INDEX('Produtos'!$F$5:$F$204,MATCH(C288,'Produtos'!$A$5:$A$204,0))+SUMIFS($F$5:$F$1004,$C$5:$C$1004,C288,$E$5:$E$1004,"Entrada",$A$5:$A$1004,"&lt;="&amp;A288)-SUMIFS($F$5:$F$1004,$C$5:$C$1004,C288,$E$5:$E$1004,"Saída",$A$5:$A$1004,"&lt;="&amp;A288),""))</f>
        <v/>
      </c>
      <c r="J288" s="68">
        <f>IF(A288="","",A288+ROW()/100000)</f>
        <v/>
      </c>
    </row>
    <row r="289">
      <c r="A289" s="65" t="n"/>
      <c r="B289" s="58" t="n"/>
      <c r="C289" s="58" t="n"/>
      <c r="D289" s="66">
        <f>IF(C289="","",IFERROR(INDEX('Produtos'!$B$5:$B$204,MATCH(C289,'Produtos'!$A$5:$A$204,0)),"Código não cadastrado"))</f>
        <v/>
      </c>
      <c r="E289" s="58" t="n"/>
      <c r="F289" s="61" t="n"/>
      <c r="G289" s="59" t="n"/>
      <c r="H289" s="59" t="n"/>
      <c r="I289" s="67">
        <f>IF(OR(A289="",C289=""),"",IFERROR(INDEX('Produtos'!$F$5:$F$204,MATCH(C289,'Produtos'!$A$5:$A$204,0))+SUMIFS($F$5:$F$1004,$C$5:$C$1004,C289,$E$5:$E$1004,"Entrada",$A$5:$A$1004,"&lt;="&amp;A289)-SUMIFS($F$5:$F$1004,$C$5:$C$1004,C289,$E$5:$E$1004,"Saída",$A$5:$A$1004,"&lt;="&amp;A289),""))</f>
        <v/>
      </c>
      <c r="J289" s="68">
        <f>IF(A289="","",A289+ROW()/100000)</f>
        <v/>
      </c>
    </row>
    <row r="290">
      <c r="A290" s="65" t="n"/>
      <c r="B290" s="58" t="n"/>
      <c r="C290" s="58" t="n"/>
      <c r="D290" s="66">
        <f>IF(C290="","",IFERROR(INDEX('Produtos'!$B$5:$B$204,MATCH(C290,'Produtos'!$A$5:$A$204,0)),"Código não cadastrado"))</f>
        <v/>
      </c>
      <c r="E290" s="58" t="n"/>
      <c r="F290" s="61" t="n"/>
      <c r="G290" s="59" t="n"/>
      <c r="H290" s="59" t="n"/>
      <c r="I290" s="67">
        <f>IF(OR(A290="",C290=""),"",IFERROR(INDEX('Produtos'!$F$5:$F$204,MATCH(C290,'Produtos'!$A$5:$A$204,0))+SUMIFS($F$5:$F$1004,$C$5:$C$1004,C290,$E$5:$E$1004,"Entrada",$A$5:$A$1004,"&lt;="&amp;A290)-SUMIFS($F$5:$F$1004,$C$5:$C$1004,C290,$E$5:$E$1004,"Saída",$A$5:$A$1004,"&lt;="&amp;A290),""))</f>
        <v/>
      </c>
      <c r="J290" s="68">
        <f>IF(A290="","",A290+ROW()/100000)</f>
        <v/>
      </c>
    </row>
    <row r="291">
      <c r="A291" s="65" t="n"/>
      <c r="B291" s="58" t="n"/>
      <c r="C291" s="58" t="n"/>
      <c r="D291" s="66">
        <f>IF(C291="","",IFERROR(INDEX('Produtos'!$B$5:$B$204,MATCH(C291,'Produtos'!$A$5:$A$204,0)),"Código não cadastrado"))</f>
        <v/>
      </c>
      <c r="E291" s="58" t="n"/>
      <c r="F291" s="61" t="n"/>
      <c r="G291" s="59" t="n"/>
      <c r="H291" s="59" t="n"/>
      <c r="I291" s="67">
        <f>IF(OR(A291="",C291=""),"",IFERROR(INDEX('Produtos'!$F$5:$F$204,MATCH(C291,'Produtos'!$A$5:$A$204,0))+SUMIFS($F$5:$F$1004,$C$5:$C$1004,C291,$E$5:$E$1004,"Entrada",$A$5:$A$1004,"&lt;="&amp;A291)-SUMIFS($F$5:$F$1004,$C$5:$C$1004,C291,$E$5:$E$1004,"Saída",$A$5:$A$1004,"&lt;="&amp;A291),""))</f>
        <v/>
      </c>
      <c r="J291" s="68">
        <f>IF(A291="","",A291+ROW()/100000)</f>
        <v/>
      </c>
    </row>
    <row r="292">
      <c r="A292" s="65" t="n"/>
      <c r="B292" s="58" t="n"/>
      <c r="C292" s="58" t="n"/>
      <c r="D292" s="66">
        <f>IF(C292="","",IFERROR(INDEX('Produtos'!$B$5:$B$204,MATCH(C292,'Produtos'!$A$5:$A$204,0)),"Código não cadastrado"))</f>
        <v/>
      </c>
      <c r="E292" s="58" t="n"/>
      <c r="F292" s="61" t="n"/>
      <c r="G292" s="59" t="n"/>
      <c r="H292" s="59" t="n"/>
      <c r="I292" s="67">
        <f>IF(OR(A292="",C292=""),"",IFERROR(INDEX('Produtos'!$F$5:$F$204,MATCH(C292,'Produtos'!$A$5:$A$204,0))+SUMIFS($F$5:$F$1004,$C$5:$C$1004,C292,$E$5:$E$1004,"Entrada",$A$5:$A$1004,"&lt;="&amp;A292)-SUMIFS($F$5:$F$1004,$C$5:$C$1004,C292,$E$5:$E$1004,"Saída",$A$5:$A$1004,"&lt;="&amp;A292),""))</f>
        <v/>
      </c>
      <c r="J292" s="68">
        <f>IF(A292="","",A292+ROW()/100000)</f>
        <v/>
      </c>
    </row>
    <row r="293">
      <c r="A293" s="65" t="n"/>
      <c r="B293" s="58" t="n"/>
      <c r="C293" s="58" t="n"/>
      <c r="D293" s="66">
        <f>IF(C293="","",IFERROR(INDEX('Produtos'!$B$5:$B$204,MATCH(C293,'Produtos'!$A$5:$A$204,0)),"Código não cadastrado"))</f>
        <v/>
      </c>
      <c r="E293" s="58" t="n"/>
      <c r="F293" s="61" t="n"/>
      <c r="G293" s="59" t="n"/>
      <c r="H293" s="59" t="n"/>
      <c r="I293" s="67">
        <f>IF(OR(A293="",C293=""),"",IFERROR(INDEX('Produtos'!$F$5:$F$204,MATCH(C293,'Produtos'!$A$5:$A$204,0))+SUMIFS($F$5:$F$1004,$C$5:$C$1004,C293,$E$5:$E$1004,"Entrada",$A$5:$A$1004,"&lt;="&amp;A293)-SUMIFS($F$5:$F$1004,$C$5:$C$1004,C293,$E$5:$E$1004,"Saída",$A$5:$A$1004,"&lt;="&amp;A293),""))</f>
        <v/>
      </c>
      <c r="J293" s="68">
        <f>IF(A293="","",A293+ROW()/100000)</f>
        <v/>
      </c>
    </row>
    <row r="294">
      <c r="A294" s="65" t="n"/>
      <c r="B294" s="58" t="n"/>
      <c r="C294" s="58" t="n"/>
      <c r="D294" s="66">
        <f>IF(C294="","",IFERROR(INDEX('Produtos'!$B$5:$B$204,MATCH(C294,'Produtos'!$A$5:$A$204,0)),"Código não cadastrado"))</f>
        <v/>
      </c>
      <c r="E294" s="58" t="n"/>
      <c r="F294" s="61" t="n"/>
      <c r="G294" s="59" t="n"/>
      <c r="H294" s="59" t="n"/>
      <c r="I294" s="67">
        <f>IF(OR(A294="",C294=""),"",IFERROR(INDEX('Produtos'!$F$5:$F$204,MATCH(C294,'Produtos'!$A$5:$A$204,0))+SUMIFS($F$5:$F$1004,$C$5:$C$1004,C294,$E$5:$E$1004,"Entrada",$A$5:$A$1004,"&lt;="&amp;A294)-SUMIFS($F$5:$F$1004,$C$5:$C$1004,C294,$E$5:$E$1004,"Saída",$A$5:$A$1004,"&lt;="&amp;A294),""))</f>
        <v/>
      </c>
      <c r="J294" s="68">
        <f>IF(A294="","",A294+ROW()/100000)</f>
        <v/>
      </c>
    </row>
    <row r="295">
      <c r="A295" s="65" t="n"/>
      <c r="B295" s="58" t="n"/>
      <c r="C295" s="58" t="n"/>
      <c r="D295" s="66">
        <f>IF(C295="","",IFERROR(INDEX('Produtos'!$B$5:$B$204,MATCH(C295,'Produtos'!$A$5:$A$204,0)),"Código não cadastrado"))</f>
        <v/>
      </c>
      <c r="E295" s="58" t="n"/>
      <c r="F295" s="61" t="n"/>
      <c r="G295" s="59" t="n"/>
      <c r="H295" s="59" t="n"/>
      <c r="I295" s="67">
        <f>IF(OR(A295="",C295=""),"",IFERROR(INDEX('Produtos'!$F$5:$F$204,MATCH(C295,'Produtos'!$A$5:$A$204,0))+SUMIFS($F$5:$F$1004,$C$5:$C$1004,C295,$E$5:$E$1004,"Entrada",$A$5:$A$1004,"&lt;="&amp;A295)-SUMIFS($F$5:$F$1004,$C$5:$C$1004,C295,$E$5:$E$1004,"Saída",$A$5:$A$1004,"&lt;="&amp;A295),""))</f>
        <v/>
      </c>
      <c r="J295" s="68">
        <f>IF(A295="","",A295+ROW()/100000)</f>
        <v/>
      </c>
    </row>
    <row r="296">
      <c r="A296" s="65" t="n"/>
      <c r="B296" s="58" t="n"/>
      <c r="C296" s="58" t="n"/>
      <c r="D296" s="66">
        <f>IF(C296="","",IFERROR(INDEX('Produtos'!$B$5:$B$204,MATCH(C296,'Produtos'!$A$5:$A$204,0)),"Código não cadastrado"))</f>
        <v/>
      </c>
      <c r="E296" s="58" t="n"/>
      <c r="F296" s="61" t="n"/>
      <c r="G296" s="59" t="n"/>
      <c r="H296" s="59" t="n"/>
      <c r="I296" s="67">
        <f>IF(OR(A296="",C296=""),"",IFERROR(INDEX('Produtos'!$F$5:$F$204,MATCH(C296,'Produtos'!$A$5:$A$204,0))+SUMIFS($F$5:$F$1004,$C$5:$C$1004,C296,$E$5:$E$1004,"Entrada",$A$5:$A$1004,"&lt;="&amp;A296)-SUMIFS($F$5:$F$1004,$C$5:$C$1004,C296,$E$5:$E$1004,"Saída",$A$5:$A$1004,"&lt;="&amp;A296),""))</f>
        <v/>
      </c>
      <c r="J296" s="68">
        <f>IF(A296="","",A296+ROW()/100000)</f>
        <v/>
      </c>
    </row>
    <row r="297">
      <c r="A297" s="65" t="n"/>
      <c r="B297" s="58" t="n"/>
      <c r="C297" s="58" t="n"/>
      <c r="D297" s="66">
        <f>IF(C297="","",IFERROR(INDEX('Produtos'!$B$5:$B$204,MATCH(C297,'Produtos'!$A$5:$A$204,0)),"Código não cadastrado"))</f>
        <v/>
      </c>
      <c r="E297" s="58" t="n"/>
      <c r="F297" s="61" t="n"/>
      <c r="G297" s="59" t="n"/>
      <c r="H297" s="59" t="n"/>
      <c r="I297" s="67">
        <f>IF(OR(A297="",C297=""),"",IFERROR(INDEX('Produtos'!$F$5:$F$204,MATCH(C297,'Produtos'!$A$5:$A$204,0))+SUMIFS($F$5:$F$1004,$C$5:$C$1004,C297,$E$5:$E$1004,"Entrada",$A$5:$A$1004,"&lt;="&amp;A297)-SUMIFS($F$5:$F$1004,$C$5:$C$1004,C297,$E$5:$E$1004,"Saída",$A$5:$A$1004,"&lt;="&amp;A297),""))</f>
        <v/>
      </c>
      <c r="J297" s="68">
        <f>IF(A297="","",A297+ROW()/100000)</f>
        <v/>
      </c>
    </row>
    <row r="298">
      <c r="A298" s="65" t="n"/>
      <c r="B298" s="58" t="n"/>
      <c r="C298" s="58" t="n"/>
      <c r="D298" s="66">
        <f>IF(C298="","",IFERROR(INDEX('Produtos'!$B$5:$B$204,MATCH(C298,'Produtos'!$A$5:$A$204,0)),"Código não cadastrado"))</f>
        <v/>
      </c>
      <c r="E298" s="58" t="n"/>
      <c r="F298" s="61" t="n"/>
      <c r="G298" s="59" t="n"/>
      <c r="H298" s="59" t="n"/>
      <c r="I298" s="67">
        <f>IF(OR(A298="",C298=""),"",IFERROR(INDEX('Produtos'!$F$5:$F$204,MATCH(C298,'Produtos'!$A$5:$A$204,0))+SUMIFS($F$5:$F$1004,$C$5:$C$1004,C298,$E$5:$E$1004,"Entrada",$A$5:$A$1004,"&lt;="&amp;A298)-SUMIFS($F$5:$F$1004,$C$5:$C$1004,C298,$E$5:$E$1004,"Saída",$A$5:$A$1004,"&lt;="&amp;A298),""))</f>
        <v/>
      </c>
      <c r="J298" s="68">
        <f>IF(A298="","",A298+ROW()/100000)</f>
        <v/>
      </c>
    </row>
    <row r="299">
      <c r="A299" s="65" t="n"/>
      <c r="B299" s="58" t="n"/>
      <c r="C299" s="58" t="n"/>
      <c r="D299" s="66">
        <f>IF(C299="","",IFERROR(INDEX('Produtos'!$B$5:$B$204,MATCH(C299,'Produtos'!$A$5:$A$204,0)),"Código não cadastrado"))</f>
        <v/>
      </c>
      <c r="E299" s="58" t="n"/>
      <c r="F299" s="61" t="n"/>
      <c r="G299" s="59" t="n"/>
      <c r="H299" s="59" t="n"/>
      <c r="I299" s="67">
        <f>IF(OR(A299="",C299=""),"",IFERROR(INDEX('Produtos'!$F$5:$F$204,MATCH(C299,'Produtos'!$A$5:$A$204,0))+SUMIFS($F$5:$F$1004,$C$5:$C$1004,C299,$E$5:$E$1004,"Entrada",$A$5:$A$1004,"&lt;="&amp;A299)-SUMIFS($F$5:$F$1004,$C$5:$C$1004,C299,$E$5:$E$1004,"Saída",$A$5:$A$1004,"&lt;="&amp;A299),""))</f>
        <v/>
      </c>
      <c r="J299" s="68">
        <f>IF(A299="","",A299+ROW()/100000)</f>
        <v/>
      </c>
    </row>
    <row r="300">
      <c r="A300" s="65" t="n"/>
      <c r="B300" s="58" t="n"/>
      <c r="C300" s="58" t="n"/>
      <c r="D300" s="66">
        <f>IF(C300="","",IFERROR(INDEX('Produtos'!$B$5:$B$204,MATCH(C300,'Produtos'!$A$5:$A$204,0)),"Código não cadastrado"))</f>
        <v/>
      </c>
      <c r="E300" s="58" t="n"/>
      <c r="F300" s="61" t="n"/>
      <c r="G300" s="59" t="n"/>
      <c r="H300" s="59" t="n"/>
      <c r="I300" s="67">
        <f>IF(OR(A300="",C300=""),"",IFERROR(INDEX('Produtos'!$F$5:$F$204,MATCH(C300,'Produtos'!$A$5:$A$204,0))+SUMIFS($F$5:$F$1004,$C$5:$C$1004,C300,$E$5:$E$1004,"Entrada",$A$5:$A$1004,"&lt;="&amp;A300)-SUMIFS($F$5:$F$1004,$C$5:$C$1004,C300,$E$5:$E$1004,"Saída",$A$5:$A$1004,"&lt;="&amp;A300),""))</f>
        <v/>
      </c>
      <c r="J300" s="68">
        <f>IF(A300="","",A300+ROW()/100000)</f>
        <v/>
      </c>
    </row>
    <row r="301">
      <c r="A301" s="65" t="n"/>
      <c r="B301" s="58" t="n"/>
      <c r="C301" s="58" t="n"/>
      <c r="D301" s="66">
        <f>IF(C301="","",IFERROR(INDEX('Produtos'!$B$5:$B$204,MATCH(C301,'Produtos'!$A$5:$A$204,0)),"Código não cadastrado"))</f>
        <v/>
      </c>
      <c r="E301" s="58" t="n"/>
      <c r="F301" s="61" t="n"/>
      <c r="G301" s="59" t="n"/>
      <c r="H301" s="59" t="n"/>
      <c r="I301" s="67">
        <f>IF(OR(A301="",C301=""),"",IFERROR(INDEX('Produtos'!$F$5:$F$204,MATCH(C301,'Produtos'!$A$5:$A$204,0))+SUMIFS($F$5:$F$1004,$C$5:$C$1004,C301,$E$5:$E$1004,"Entrada",$A$5:$A$1004,"&lt;="&amp;A301)-SUMIFS($F$5:$F$1004,$C$5:$C$1004,C301,$E$5:$E$1004,"Saída",$A$5:$A$1004,"&lt;="&amp;A301),""))</f>
        <v/>
      </c>
      <c r="J301" s="68">
        <f>IF(A301="","",A301+ROW()/100000)</f>
        <v/>
      </c>
    </row>
    <row r="302">
      <c r="A302" s="65" t="n"/>
      <c r="B302" s="58" t="n"/>
      <c r="C302" s="58" t="n"/>
      <c r="D302" s="66">
        <f>IF(C302="","",IFERROR(INDEX('Produtos'!$B$5:$B$204,MATCH(C302,'Produtos'!$A$5:$A$204,0)),"Código não cadastrado"))</f>
        <v/>
      </c>
      <c r="E302" s="58" t="n"/>
      <c r="F302" s="61" t="n"/>
      <c r="G302" s="59" t="n"/>
      <c r="H302" s="59" t="n"/>
      <c r="I302" s="67">
        <f>IF(OR(A302="",C302=""),"",IFERROR(INDEX('Produtos'!$F$5:$F$204,MATCH(C302,'Produtos'!$A$5:$A$204,0))+SUMIFS($F$5:$F$1004,$C$5:$C$1004,C302,$E$5:$E$1004,"Entrada",$A$5:$A$1004,"&lt;="&amp;A302)-SUMIFS($F$5:$F$1004,$C$5:$C$1004,C302,$E$5:$E$1004,"Saída",$A$5:$A$1004,"&lt;="&amp;A302),""))</f>
        <v/>
      </c>
      <c r="J302" s="68">
        <f>IF(A302="","",A302+ROW()/100000)</f>
        <v/>
      </c>
    </row>
    <row r="303">
      <c r="A303" s="65" t="n"/>
      <c r="B303" s="58" t="n"/>
      <c r="C303" s="58" t="n"/>
      <c r="D303" s="66">
        <f>IF(C303="","",IFERROR(INDEX('Produtos'!$B$5:$B$204,MATCH(C303,'Produtos'!$A$5:$A$204,0)),"Código não cadastrado"))</f>
        <v/>
      </c>
      <c r="E303" s="58" t="n"/>
      <c r="F303" s="61" t="n"/>
      <c r="G303" s="59" t="n"/>
      <c r="H303" s="59" t="n"/>
      <c r="I303" s="67">
        <f>IF(OR(A303="",C303=""),"",IFERROR(INDEX('Produtos'!$F$5:$F$204,MATCH(C303,'Produtos'!$A$5:$A$204,0))+SUMIFS($F$5:$F$1004,$C$5:$C$1004,C303,$E$5:$E$1004,"Entrada",$A$5:$A$1004,"&lt;="&amp;A303)-SUMIFS($F$5:$F$1004,$C$5:$C$1004,C303,$E$5:$E$1004,"Saída",$A$5:$A$1004,"&lt;="&amp;A303),""))</f>
        <v/>
      </c>
      <c r="J303" s="68">
        <f>IF(A303="","",A303+ROW()/100000)</f>
        <v/>
      </c>
    </row>
    <row r="304">
      <c r="A304" s="65" t="n"/>
      <c r="B304" s="58" t="n"/>
      <c r="C304" s="58" t="n"/>
      <c r="D304" s="66">
        <f>IF(C304="","",IFERROR(INDEX('Produtos'!$B$5:$B$204,MATCH(C304,'Produtos'!$A$5:$A$204,0)),"Código não cadastrado"))</f>
        <v/>
      </c>
      <c r="E304" s="58" t="n"/>
      <c r="F304" s="61" t="n"/>
      <c r="G304" s="59" t="n"/>
      <c r="H304" s="59" t="n"/>
      <c r="I304" s="67">
        <f>IF(OR(A304="",C304=""),"",IFERROR(INDEX('Produtos'!$F$5:$F$204,MATCH(C304,'Produtos'!$A$5:$A$204,0))+SUMIFS($F$5:$F$1004,$C$5:$C$1004,C304,$E$5:$E$1004,"Entrada",$A$5:$A$1004,"&lt;="&amp;A304)-SUMIFS($F$5:$F$1004,$C$5:$C$1004,C304,$E$5:$E$1004,"Saída",$A$5:$A$1004,"&lt;="&amp;A304),""))</f>
        <v/>
      </c>
      <c r="J304" s="68">
        <f>IF(A304="","",A304+ROW()/100000)</f>
        <v/>
      </c>
    </row>
    <row r="305">
      <c r="A305" s="65" t="n"/>
      <c r="B305" s="58" t="n"/>
      <c r="C305" s="58" t="n"/>
      <c r="D305" s="66">
        <f>IF(C305="","",IFERROR(INDEX('Produtos'!$B$5:$B$204,MATCH(C305,'Produtos'!$A$5:$A$204,0)),"Código não cadastrado"))</f>
        <v/>
      </c>
      <c r="E305" s="58" t="n"/>
      <c r="F305" s="61" t="n"/>
      <c r="G305" s="59" t="n"/>
      <c r="H305" s="59" t="n"/>
      <c r="I305" s="67">
        <f>IF(OR(A305="",C305=""),"",IFERROR(INDEX('Produtos'!$F$5:$F$204,MATCH(C305,'Produtos'!$A$5:$A$204,0))+SUMIFS($F$5:$F$1004,$C$5:$C$1004,C305,$E$5:$E$1004,"Entrada",$A$5:$A$1004,"&lt;="&amp;A305)-SUMIFS($F$5:$F$1004,$C$5:$C$1004,C305,$E$5:$E$1004,"Saída",$A$5:$A$1004,"&lt;="&amp;A305),""))</f>
        <v/>
      </c>
      <c r="J305" s="68">
        <f>IF(A305="","",A305+ROW()/100000)</f>
        <v/>
      </c>
    </row>
    <row r="306">
      <c r="A306" s="65" t="n"/>
      <c r="B306" s="58" t="n"/>
      <c r="C306" s="58" t="n"/>
      <c r="D306" s="66">
        <f>IF(C306="","",IFERROR(INDEX('Produtos'!$B$5:$B$204,MATCH(C306,'Produtos'!$A$5:$A$204,0)),"Código não cadastrado"))</f>
        <v/>
      </c>
      <c r="E306" s="58" t="n"/>
      <c r="F306" s="61" t="n"/>
      <c r="G306" s="59" t="n"/>
      <c r="H306" s="59" t="n"/>
      <c r="I306" s="67">
        <f>IF(OR(A306="",C306=""),"",IFERROR(INDEX('Produtos'!$F$5:$F$204,MATCH(C306,'Produtos'!$A$5:$A$204,0))+SUMIFS($F$5:$F$1004,$C$5:$C$1004,C306,$E$5:$E$1004,"Entrada",$A$5:$A$1004,"&lt;="&amp;A306)-SUMIFS($F$5:$F$1004,$C$5:$C$1004,C306,$E$5:$E$1004,"Saída",$A$5:$A$1004,"&lt;="&amp;A306),""))</f>
        <v/>
      </c>
      <c r="J306" s="68">
        <f>IF(A306="","",A306+ROW()/100000)</f>
        <v/>
      </c>
    </row>
    <row r="307">
      <c r="A307" s="65" t="n"/>
      <c r="B307" s="58" t="n"/>
      <c r="C307" s="58" t="n"/>
      <c r="D307" s="66">
        <f>IF(C307="","",IFERROR(INDEX('Produtos'!$B$5:$B$204,MATCH(C307,'Produtos'!$A$5:$A$204,0)),"Código não cadastrado"))</f>
        <v/>
      </c>
      <c r="E307" s="58" t="n"/>
      <c r="F307" s="61" t="n"/>
      <c r="G307" s="59" t="n"/>
      <c r="H307" s="59" t="n"/>
      <c r="I307" s="67">
        <f>IF(OR(A307="",C307=""),"",IFERROR(INDEX('Produtos'!$F$5:$F$204,MATCH(C307,'Produtos'!$A$5:$A$204,0))+SUMIFS($F$5:$F$1004,$C$5:$C$1004,C307,$E$5:$E$1004,"Entrada",$A$5:$A$1004,"&lt;="&amp;A307)-SUMIFS($F$5:$F$1004,$C$5:$C$1004,C307,$E$5:$E$1004,"Saída",$A$5:$A$1004,"&lt;="&amp;A307),""))</f>
        <v/>
      </c>
      <c r="J307" s="68">
        <f>IF(A307="","",A307+ROW()/100000)</f>
        <v/>
      </c>
    </row>
    <row r="308">
      <c r="A308" s="65" t="n"/>
      <c r="B308" s="58" t="n"/>
      <c r="C308" s="58" t="n"/>
      <c r="D308" s="66">
        <f>IF(C308="","",IFERROR(INDEX('Produtos'!$B$5:$B$204,MATCH(C308,'Produtos'!$A$5:$A$204,0)),"Código não cadastrado"))</f>
        <v/>
      </c>
      <c r="E308" s="58" t="n"/>
      <c r="F308" s="61" t="n"/>
      <c r="G308" s="59" t="n"/>
      <c r="H308" s="59" t="n"/>
      <c r="I308" s="67">
        <f>IF(OR(A308="",C308=""),"",IFERROR(INDEX('Produtos'!$F$5:$F$204,MATCH(C308,'Produtos'!$A$5:$A$204,0))+SUMIFS($F$5:$F$1004,$C$5:$C$1004,C308,$E$5:$E$1004,"Entrada",$A$5:$A$1004,"&lt;="&amp;A308)-SUMIFS($F$5:$F$1004,$C$5:$C$1004,C308,$E$5:$E$1004,"Saída",$A$5:$A$1004,"&lt;="&amp;A308),""))</f>
        <v/>
      </c>
      <c r="J308" s="68">
        <f>IF(A308="","",A308+ROW()/100000)</f>
        <v/>
      </c>
    </row>
    <row r="309">
      <c r="A309" s="65" t="n"/>
      <c r="B309" s="58" t="n"/>
      <c r="C309" s="58" t="n"/>
      <c r="D309" s="66">
        <f>IF(C309="","",IFERROR(INDEX('Produtos'!$B$5:$B$204,MATCH(C309,'Produtos'!$A$5:$A$204,0)),"Código não cadastrado"))</f>
        <v/>
      </c>
      <c r="E309" s="58" t="n"/>
      <c r="F309" s="61" t="n"/>
      <c r="G309" s="59" t="n"/>
      <c r="H309" s="59" t="n"/>
      <c r="I309" s="67">
        <f>IF(OR(A309="",C309=""),"",IFERROR(INDEX('Produtos'!$F$5:$F$204,MATCH(C309,'Produtos'!$A$5:$A$204,0))+SUMIFS($F$5:$F$1004,$C$5:$C$1004,C309,$E$5:$E$1004,"Entrada",$A$5:$A$1004,"&lt;="&amp;A309)-SUMIFS($F$5:$F$1004,$C$5:$C$1004,C309,$E$5:$E$1004,"Saída",$A$5:$A$1004,"&lt;="&amp;A309),""))</f>
        <v/>
      </c>
      <c r="J309" s="68">
        <f>IF(A309="","",A309+ROW()/100000)</f>
        <v/>
      </c>
    </row>
    <row r="310">
      <c r="A310" s="65" t="n"/>
      <c r="B310" s="58" t="n"/>
      <c r="C310" s="58" t="n"/>
      <c r="D310" s="66">
        <f>IF(C310="","",IFERROR(INDEX('Produtos'!$B$5:$B$204,MATCH(C310,'Produtos'!$A$5:$A$204,0)),"Código não cadastrado"))</f>
        <v/>
      </c>
      <c r="E310" s="58" t="n"/>
      <c r="F310" s="61" t="n"/>
      <c r="G310" s="59" t="n"/>
      <c r="H310" s="59" t="n"/>
      <c r="I310" s="67">
        <f>IF(OR(A310="",C310=""),"",IFERROR(INDEX('Produtos'!$F$5:$F$204,MATCH(C310,'Produtos'!$A$5:$A$204,0))+SUMIFS($F$5:$F$1004,$C$5:$C$1004,C310,$E$5:$E$1004,"Entrada",$A$5:$A$1004,"&lt;="&amp;A310)-SUMIFS($F$5:$F$1004,$C$5:$C$1004,C310,$E$5:$E$1004,"Saída",$A$5:$A$1004,"&lt;="&amp;A310),""))</f>
        <v/>
      </c>
      <c r="J310" s="68">
        <f>IF(A310="","",A310+ROW()/100000)</f>
        <v/>
      </c>
    </row>
    <row r="311">
      <c r="A311" s="65" t="n"/>
      <c r="B311" s="58" t="n"/>
      <c r="C311" s="58" t="n"/>
      <c r="D311" s="66">
        <f>IF(C311="","",IFERROR(INDEX('Produtos'!$B$5:$B$204,MATCH(C311,'Produtos'!$A$5:$A$204,0)),"Código não cadastrado"))</f>
        <v/>
      </c>
      <c r="E311" s="58" t="n"/>
      <c r="F311" s="61" t="n"/>
      <c r="G311" s="59" t="n"/>
      <c r="H311" s="59" t="n"/>
      <c r="I311" s="67">
        <f>IF(OR(A311="",C311=""),"",IFERROR(INDEX('Produtos'!$F$5:$F$204,MATCH(C311,'Produtos'!$A$5:$A$204,0))+SUMIFS($F$5:$F$1004,$C$5:$C$1004,C311,$E$5:$E$1004,"Entrada",$A$5:$A$1004,"&lt;="&amp;A311)-SUMIFS($F$5:$F$1004,$C$5:$C$1004,C311,$E$5:$E$1004,"Saída",$A$5:$A$1004,"&lt;="&amp;A311),""))</f>
        <v/>
      </c>
      <c r="J311" s="68">
        <f>IF(A311="","",A311+ROW()/100000)</f>
        <v/>
      </c>
    </row>
    <row r="312">
      <c r="A312" s="65" t="n"/>
      <c r="B312" s="58" t="n"/>
      <c r="C312" s="58" t="n"/>
      <c r="D312" s="66">
        <f>IF(C312="","",IFERROR(INDEX('Produtos'!$B$5:$B$204,MATCH(C312,'Produtos'!$A$5:$A$204,0)),"Código não cadastrado"))</f>
        <v/>
      </c>
      <c r="E312" s="58" t="n"/>
      <c r="F312" s="61" t="n"/>
      <c r="G312" s="59" t="n"/>
      <c r="H312" s="59" t="n"/>
      <c r="I312" s="67">
        <f>IF(OR(A312="",C312=""),"",IFERROR(INDEX('Produtos'!$F$5:$F$204,MATCH(C312,'Produtos'!$A$5:$A$204,0))+SUMIFS($F$5:$F$1004,$C$5:$C$1004,C312,$E$5:$E$1004,"Entrada",$A$5:$A$1004,"&lt;="&amp;A312)-SUMIFS($F$5:$F$1004,$C$5:$C$1004,C312,$E$5:$E$1004,"Saída",$A$5:$A$1004,"&lt;="&amp;A312),""))</f>
        <v/>
      </c>
      <c r="J312" s="68">
        <f>IF(A312="","",A312+ROW()/100000)</f>
        <v/>
      </c>
    </row>
    <row r="313">
      <c r="A313" s="65" t="n"/>
      <c r="B313" s="58" t="n"/>
      <c r="C313" s="58" t="n"/>
      <c r="D313" s="66">
        <f>IF(C313="","",IFERROR(INDEX('Produtos'!$B$5:$B$204,MATCH(C313,'Produtos'!$A$5:$A$204,0)),"Código não cadastrado"))</f>
        <v/>
      </c>
      <c r="E313" s="58" t="n"/>
      <c r="F313" s="61" t="n"/>
      <c r="G313" s="59" t="n"/>
      <c r="H313" s="59" t="n"/>
      <c r="I313" s="67">
        <f>IF(OR(A313="",C313=""),"",IFERROR(INDEX('Produtos'!$F$5:$F$204,MATCH(C313,'Produtos'!$A$5:$A$204,0))+SUMIFS($F$5:$F$1004,$C$5:$C$1004,C313,$E$5:$E$1004,"Entrada",$A$5:$A$1004,"&lt;="&amp;A313)-SUMIFS($F$5:$F$1004,$C$5:$C$1004,C313,$E$5:$E$1004,"Saída",$A$5:$A$1004,"&lt;="&amp;A313),""))</f>
        <v/>
      </c>
      <c r="J313" s="68">
        <f>IF(A313="","",A313+ROW()/100000)</f>
        <v/>
      </c>
    </row>
    <row r="314">
      <c r="A314" s="65" t="n"/>
      <c r="B314" s="58" t="n"/>
      <c r="C314" s="58" t="n"/>
      <c r="D314" s="66">
        <f>IF(C314="","",IFERROR(INDEX('Produtos'!$B$5:$B$204,MATCH(C314,'Produtos'!$A$5:$A$204,0)),"Código não cadastrado"))</f>
        <v/>
      </c>
      <c r="E314" s="58" t="n"/>
      <c r="F314" s="61" t="n"/>
      <c r="G314" s="59" t="n"/>
      <c r="H314" s="59" t="n"/>
      <c r="I314" s="67">
        <f>IF(OR(A314="",C314=""),"",IFERROR(INDEX('Produtos'!$F$5:$F$204,MATCH(C314,'Produtos'!$A$5:$A$204,0))+SUMIFS($F$5:$F$1004,$C$5:$C$1004,C314,$E$5:$E$1004,"Entrada",$A$5:$A$1004,"&lt;="&amp;A314)-SUMIFS($F$5:$F$1004,$C$5:$C$1004,C314,$E$5:$E$1004,"Saída",$A$5:$A$1004,"&lt;="&amp;A314),""))</f>
        <v/>
      </c>
      <c r="J314" s="68">
        <f>IF(A314="","",A314+ROW()/100000)</f>
        <v/>
      </c>
    </row>
    <row r="315">
      <c r="A315" s="65" t="n"/>
      <c r="B315" s="58" t="n"/>
      <c r="C315" s="58" t="n"/>
      <c r="D315" s="66">
        <f>IF(C315="","",IFERROR(INDEX('Produtos'!$B$5:$B$204,MATCH(C315,'Produtos'!$A$5:$A$204,0)),"Código não cadastrado"))</f>
        <v/>
      </c>
      <c r="E315" s="58" t="n"/>
      <c r="F315" s="61" t="n"/>
      <c r="G315" s="59" t="n"/>
      <c r="H315" s="59" t="n"/>
      <c r="I315" s="67">
        <f>IF(OR(A315="",C315=""),"",IFERROR(INDEX('Produtos'!$F$5:$F$204,MATCH(C315,'Produtos'!$A$5:$A$204,0))+SUMIFS($F$5:$F$1004,$C$5:$C$1004,C315,$E$5:$E$1004,"Entrada",$A$5:$A$1004,"&lt;="&amp;A315)-SUMIFS($F$5:$F$1004,$C$5:$C$1004,C315,$E$5:$E$1004,"Saída",$A$5:$A$1004,"&lt;="&amp;A315),""))</f>
        <v/>
      </c>
      <c r="J315" s="68">
        <f>IF(A315="","",A315+ROW()/100000)</f>
        <v/>
      </c>
    </row>
    <row r="316">
      <c r="A316" s="65" t="n"/>
      <c r="B316" s="58" t="n"/>
      <c r="C316" s="58" t="n"/>
      <c r="D316" s="66">
        <f>IF(C316="","",IFERROR(INDEX('Produtos'!$B$5:$B$204,MATCH(C316,'Produtos'!$A$5:$A$204,0)),"Código não cadastrado"))</f>
        <v/>
      </c>
      <c r="E316" s="58" t="n"/>
      <c r="F316" s="61" t="n"/>
      <c r="G316" s="59" t="n"/>
      <c r="H316" s="59" t="n"/>
      <c r="I316" s="67">
        <f>IF(OR(A316="",C316=""),"",IFERROR(INDEX('Produtos'!$F$5:$F$204,MATCH(C316,'Produtos'!$A$5:$A$204,0))+SUMIFS($F$5:$F$1004,$C$5:$C$1004,C316,$E$5:$E$1004,"Entrada",$A$5:$A$1004,"&lt;="&amp;A316)-SUMIFS($F$5:$F$1004,$C$5:$C$1004,C316,$E$5:$E$1004,"Saída",$A$5:$A$1004,"&lt;="&amp;A316),""))</f>
        <v/>
      </c>
      <c r="J316" s="68">
        <f>IF(A316="","",A316+ROW()/100000)</f>
        <v/>
      </c>
    </row>
    <row r="317">
      <c r="A317" s="65" t="n"/>
      <c r="B317" s="58" t="n"/>
      <c r="C317" s="58" t="n"/>
      <c r="D317" s="66">
        <f>IF(C317="","",IFERROR(INDEX('Produtos'!$B$5:$B$204,MATCH(C317,'Produtos'!$A$5:$A$204,0)),"Código não cadastrado"))</f>
        <v/>
      </c>
      <c r="E317" s="58" t="n"/>
      <c r="F317" s="61" t="n"/>
      <c r="G317" s="59" t="n"/>
      <c r="H317" s="59" t="n"/>
      <c r="I317" s="67">
        <f>IF(OR(A317="",C317=""),"",IFERROR(INDEX('Produtos'!$F$5:$F$204,MATCH(C317,'Produtos'!$A$5:$A$204,0))+SUMIFS($F$5:$F$1004,$C$5:$C$1004,C317,$E$5:$E$1004,"Entrada",$A$5:$A$1004,"&lt;="&amp;A317)-SUMIFS($F$5:$F$1004,$C$5:$C$1004,C317,$E$5:$E$1004,"Saída",$A$5:$A$1004,"&lt;="&amp;A317),""))</f>
        <v/>
      </c>
      <c r="J317" s="68">
        <f>IF(A317="","",A317+ROW()/100000)</f>
        <v/>
      </c>
    </row>
    <row r="318">
      <c r="A318" s="65" t="n"/>
      <c r="B318" s="58" t="n"/>
      <c r="C318" s="58" t="n"/>
      <c r="D318" s="66">
        <f>IF(C318="","",IFERROR(INDEX('Produtos'!$B$5:$B$204,MATCH(C318,'Produtos'!$A$5:$A$204,0)),"Código não cadastrado"))</f>
        <v/>
      </c>
      <c r="E318" s="58" t="n"/>
      <c r="F318" s="61" t="n"/>
      <c r="G318" s="59" t="n"/>
      <c r="H318" s="59" t="n"/>
      <c r="I318" s="67">
        <f>IF(OR(A318="",C318=""),"",IFERROR(INDEX('Produtos'!$F$5:$F$204,MATCH(C318,'Produtos'!$A$5:$A$204,0))+SUMIFS($F$5:$F$1004,$C$5:$C$1004,C318,$E$5:$E$1004,"Entrada",$A$5:$A$1004,"&lt;="&amp;A318)-SUMIFS($F$5:$F$1004,$C$5:$C$1004,C318,$E$5:$E$1004,"Saída",$A$5:$A$1004,"&lt;="&amp;A318),""))</f>
        <v/>
      </c>
      <c r="J318" s="68">
        <f>IF(A318="","",A318+ROW()/100000)</f>
        <v/>
      </c>
    </row>
    <row r="319">
      <c r="A319" s="65" t="n"/>
      <c r="B319" s="58" t="n"/>
      <c r="C319" s="58" t="n"/>
      <c r="D319" s="66">
        <f>IF(C319="","",IFERROR(INDEX('Produtos'!$B$5:$B$204,MATCH(C319,'Produtos'!$A$5:$A$204,0)),"Código não cadastrado"))</f>
        <v/>
      </c>
      <c r="E319" s="58" t="n"/>
      <c r="F319" s="61" t="n"/>
      <c r="G319" s="59" t="n"/>
      <c r="H319" s="59" t="n"/>
      <c r="I319" s="67">
        <f>IF(OR(A319="",C319=""),"",IFERROR(INDEX('Produtos'!$F$5:$F$204,MATCH(C319,'Produtos'!$A$5:$A$204,0))+SUMIFS($F$5:$F$1004,$C$5:$C$1004,C319,$E$5:$E$1004,"Entrada",$A$5:$A$1004,"&lt;="&amp;A319)-SUMIFS($F$5:$F$1004,$C$5:$C$1004,C319,$E$5:$E$1004,"Saída",$A$5:$A$1004,"&lt;="&amp;A319),""))</f>
        <v/>
      </c>
      <c r="J319" s="68">
        <f>IF(A319="","",A319+ROW()/100000)</f>
        <v/>
      </c>
    </row>
    <row r="320">
      <c r="A320" s="65" t="n"/>
      <c r="B320" s="58" t="n"/>
      <c r="C320" s="58" t="n"/>
      <c r="D320" s="66">
        <f>IF(C320="","",IFERROR(INDEX('Produtos'!$B$5:$B$204,MATCH(C320,'Produtos'!$A$5:$A$204,0)),"Código não cadastrado"))</f>
        <v/>
      </c>
      <c r="E320" s="58" t="n"/>
      <c r="F320" s="61" t="n"/>
      <c r="G320" s="59" t="n"/>
      <c r="H320" s="59" t="n"/>
      <c r="I320" s="67">
        <f>IF(OR(A320="",C320=""),"",IFERROR(INDEX('Produtos'!$F$5:$F$204,MATCH(C320,'Produtos'!$A$5:$A$204,0))+SUMIFS($F$5:$F$1004,$C$5:$C$1004,C320,$E$5:$E$1004,"Entrada",$A$5:$A$1004,"&lt;="&amp;A320)-SUMIFS($F$5:$F$1004,$C$5:$C$1004,C320,$E$5:$E$1004,"Saída",$A$5:$A$1004,"&lt;="&amp;A320),""))</f>
        <v/>
      </c>
      <c r="J320" s="68">
        <f>IF(A320="","",A320+ROW()/100000)</f>
        <v/>
      </c>
    </row>
    <row r="321">
      <c r="A321" s="65" t="n"/>
      <c r="B321" s="58" t="n"/>
      <c r="C321" s="58" t="n"/>
      <c r="D321" s="66">
        <f>IF(C321="","",IFERROR(INDEX('Produtos'!$B$5:$B$204,MATCH(C321,'Produtos'!$A$5:$A$204,0)),"Código não cadastrado"))</f>
        <v/>
      </c>
      <c r="E321" s="58" t="n"/>
      <c r="F321" s="61" t="n"/>
      <c r="G321" s="59" t="n"/>
      <c r="H321" s="59" t="n"/>
      <c r="I321" s="67">
        <f>IF(OR(A321="",C321=""),"",IFERROR(INDEX('Produtos'!$F$5:$F$204,MATCH(C321,'Produtos'!$A$5:$A$204,0))+SUMIFS($F$5:$F$1004,$C$5:$C$1004,C321,$E$5:$E$1004,"Entrada",$A$5:$A$1004,"&lt;="&amp;A321)-SUMIFS($F$5:$F$1004,$C$5:$C$1004,C321,$E$5:$E$1004,"Saída",$A$5:$A$1004,"&lt;="&amp;A321),""))</f>
        <v/>
      </c>
      <c r="J321" s="68">
        <f>IF(A321="","",A321+ROW()/100000)</f>
        <v/>
      </c>
    </row>
    <row r="322">
      <c r="A322" s="65" t="n"/>
      <c r="B322" s="58" t="n"/>
      <c r="C322" s="58" t="n"/>
      <c r="D322" s="66">
        <f>IF(C322="","",IFERROR(INDEX('Produtos'!$B$5:$B$204,MATCH(C322,'Produtos'!$A$5:$A$204,0)),"Código não cadastrado"))</f>
        <v/>
      </c>
      <c r="E322" s="58" t="n"/>
      <c r="F322" s="61" t="n"/>
      <c r="G322" s="59" t="n"/>
      <c r="H322" s="59" t="n"/>
      <c r="I322" s="67">
        <f>IF(OR(A322="",C322=""),"",IFERROR(INDEX('Produtos'!$F$5:$F$204,MATCH(C322,'Produtos'!$A$5:$A$204,0))+SUMIFS($F$5:$F$1004,$C$5:$C$1004,C322,$E$5:$E$1004,"Entrada",$A$5:$A$1004,"&lt;="&amp;A322)-SUMIFS($F$5:$F$1004,$C$5:$C$1004,C322,$E$5:$E$1004,"Saída",$A$5:$A$1004,"&lt;="&amp;A322),""))</f>
        <v/>
      </c>
      <c r="J322" s="68">
        <f>IF(A322="","",A322+ROW()/100000)</f>
        <v/>
      </c>
    </row>
    <row r="323">
      <c r="A323" s="65" t="n"/>
      <c r="B323" s="58" t="n"/>
      <c r="C323" s="58" t="n"/>
      <c r="D323" s="66">
        <f>IF(C323="","",IFERROR(INDEX('Produtos'!$B$5:$B$204,MATCH(C323,'Produtos'!$A$5:$A$204,0)),"Código não cadastrado"))</f>
        <v/>
      </c>
      <c r="E323" s="58" t="n"/>
      <c r="F323" s="61" t="n"/>
      <c r="G323" s="59" t="n"/>
      <c r="H323" s="59" t="n"/>
      <c r="I323" s="67">
        <f>IF(OR(A323="",C323=""),"",IFERROR(INDEX('Produtos'!$F$5:$F$204,MATCH(C323,'Produtos'!$A$5:$A$204,0))+SUMIFS($F$5:$F$1004,$C$5:$C$1004,C323,$E$5:$E$1004,"Entrada",$A$5:$A$1004,"&lt;="&amp;A323)-SUMIFS($F$5:$F$1004,$C$5:$C$1004,C323,$E$5:$E$1004,"Saída",$A$5:$A$1004,"&lt;="&amp;A323),""))</f>
        <v/>
      </c>
      <c r="J323" s="68">
        <f>IF(A323="","",A323+ROW()/100000)</f>
        <v/>
      </c>
    </row>
    <row r="324">
      <c r="A324" s="65" t="n"/>
      <c r="B324" s="58" t="n"/>
      <c r="C324" s="58" t="n"/>
      <c r="D324" s="66">
        <f>IF(C324="","",IFERROR(INDEX('Produtos'!$B$5:$B$204,MATCH(C324,'Produtos'!$A$5:$A$204,0)),"Código não cadastrado"))</f>
        <v/>
      </c>
      <c r="E324" s="58" t="n"/>
      <c r="F324" s="61" t="n"/>
      <c r="G324" s="59" t="n"/>
      <c r="H324" s="59" t="n"/>
      <c r="I324" s="67">
        <f>IF(OR(A324="",C324=""),"",IFERROR(INDEX('Produtos'!$F$5:$F$204,MATCH(C324,'Produtos'!$A$5:$A$204,0))+SUMIFS($F$5:$F$1004,$C$5:$C$1004,C324,$E$5:$E$1004,"Entrada",$A$5:$A$1004,"&lt;="&amp;A324)-SUMIFS($F$5:$F$1004,$C$5:$C$1004,C324,$E$5:$E$1004,"Saída",$A$5:$A$1004,"&lt;="&amp;A324),""))</f>
        <v/>
      </c>
      <c r="J324" s="68">
        <f>IF(A324="","",A324+ROW()/100000)</f>
        <v/>
      </c>
    </row>
    <row r="325">
      <c r="A325" s="65" t="n"/>
      <c r="B325" s="58" t="n"/>
      <c r="C325" s="58" t="n"/>
      <c r="D325" s="66">
        <f>IF(C325="","",IFERROR(INDEX('Produtos'!$B$5:$B$204,MATCH(C325,'Produtos'!$A$5:$A$204,0)),"Código não cadastrado"))</f>
        <v/>
      </c>
      <c r="E325" s="58" t="n"/>
      <c r="F325" s="61" t="n"/>
      <c r="G325" s="59" t="n"/>
      <c r="H325" s="59" t="n"/>
      <c r="I325" s="67">
        <f>IF(OR(A325="",C325=""),"",IFERROR(INDEX('Produtos'!$F$5:$F$204,MATCH(C325,'Produtos'!$A$5:$A$204,0))+SUMIFS($F$5:$F$1004,$C$5:$C$1004,C325,$E$5:$E$1004,"Entrada",$A$5:$A$1004,"&lt;="&amp;A325)-SUMIFS($F$5:$F$1004,$C$5:$C$1004,C325,$E$5:$E$1004,"Saída",$A$5:$A$1004,"&lt;="&amp;A325),""))</f>
        <v/>
      </c>
      <c r="J325" s="68">
        <f>IF(A325="","",A325+ROW()/100000)</f>
        <v/>
      </c>
    </row>
    <row r="326">
      <c r="A326" s="65" t="n"/>
      <c r="B326" s="58" t="n"/>
      <c r="C326" s="58" t="n"/>
      <c r="D326" s="66">
        <f>IF(C326="","",IFERROR(INDEX('Produtos'!$B$5:$B$204,MATCH(C326,'Produtos'!$A$5:$A$204,0)),"Código não cadastrado"))</f>
        <v/>
      </c>
      <c r="E326" s="58" t="n"/>
      <c r="F326" s="61" t="n"/>
      <c r="G326" s="59" t="n"/>
      <c r="H326" s="59" t="n"/>
      <c r="I326" s="67">
        <f>IF(OR(A326="",C326=""),"",IFERROR(INDEX('Produtos'!$F$5:$F$204,MATCH(C326,'Produtos'!$A$5:$A$204,0))+SUMIFS($F$5:$F$1004,$C$5:$C$1004,C326,$E$5:$E$1004,"Entrada",$A$5:$A$1004,"&lt;="&amp;A326)-SUMIFS($F$5:$F$1004,$C$5:$C$1004,C326,$E$5:$E$1004,"Saída",$A$5:$A$1004,"&lt;="&amp;A326),""))</f>
        <v/>
      </c>
      <c r="J326" s="68">
        <f>IF(A326="","",A326+ROW()/100000)</f>
        <v/>
      </c>
    </row>
    <row r="327">
      <c r="A327" s="65" t="n"/>
      <c r="B327" s="58" t="n"/>
      <c r="C327" s="58" t="n"/>
      <c r="D327" s="66">
        <f>IF(C327="","",IFERROR(INDEX('Produtos'!$B$5:$B$204,MATCH(C327,'Produtos'!$A$5:$A$204,0)),"Código não cadastrado"))</f>
        <v/>
      </c>
      <c r="E327" s="58" t="n"/>
      <c r="F327" s="61" t="n"/>
      <c r="G327" s="59" t="n"/>
      <c r="H327" s="59" t="n"/>
      <c r="I327" s="67">
        <f>IF(OR(A327="",C327=""),"",IFERROR(INDEX('Produtos'!$F$5:$F$204,MATCH(C327,'Produtos'!$A$5:$A$204,0))+SUMIFS($F$5:$F$1004,$C$5:$C$1004,C327,$E$5:$E$1004,"Entrada",$A$5:$A$1004,"&lt;="&amp;A327)-SUMIFS($F$5:$F$1004,$C$5:$C$1004,C327,$E$5:$E$1004,"Saída",$A$5:$A$1004,"&lt;="&amp;A327),""))</f>
        <v/>
      </c>
      <c r="J327" s="68">
        <f>IF(A327="","",A327+ROW()/100000)</f>
        <v/>
      </c>
    </row>
    <row r="328">
      <c r="A328" s="65" t="n"/>
      <c r="B328" s="58" t="n"/>
      <c r="C328" s="58" t="n"/>
      <c r="D328" s="66">
        <f>IF(C328="","",IFERROR(INDEX('Produtos'!$B$5:$B$204,MATCH(C328,'Produtos'!$A$5:$A$204,0)),"Código não cadastrado"))</f>
        <v/>
      </c>
      <c r="E328" s="58" t="n"/>
      <c r="F328" s="61" t="n"/>
      <c r="G328" s="59" t="n"/>
      <c r="H328" s="59" t="n"/>
      <c r="I328" s="67">
        <f>IF(OR(A328="",C328=""),"",IFERROR(INDEX('Produtos'!$F$5:$F$204,MATCH(C328,'Produtos'!$A$5:$A$204,0))+SUMIFS($F$5:$F$1004,$C$5:$C$1004,C328,$E$5:$E$1004,"Entrada",$A$5:$A$1004,"&lt;="&amp;A328)-SUMIFS($F$5:$F$1004,$C$5:$C$1004,C328,$E$5:$E$1004,"Saída",$A$5:$A$1004,"&lt;="&amp;A328),""))</f>
        <v/>
      </c>
      <c r="J328" s="68">
        <f>IF(A328="","",A328+ROW()/100000)</f>
        <v/>
      </c>
    </row>
    <row r="329">
      <c r="A329" s="65" t="n"/>
      <c r="B329" s="58" t="n"/>
      <c r="C329" s="58" t="n"/>
      <c r="D329" s="66">
        <f>IF(C329="","",IFERROR(INDEX('Produtos'!$B$5:$B$204,MATCH(C329,'Produtos'!$A$5:$A$204,0)),"Código não cadastrado"))</f>
        <v/>
      </c>
      <c r="E329" s="58" t="n"/>
      <c r="F329" s="61" t="n"/>
      <c r="G329" s="59" t="n"/>
      <c r="H329" s="59" t="n"/>
      <c r="I329" s="67">
        <f>IF(OR(A329="",C329=""),"",IFERROR(INDEX('Produtos'!$F$5:$F$204,MATCH(C329,'Produtos'!$A$5:$A$204,0))+SUMIFS($F$5:$F$1004,$C$5:$C$1004,C329,$E$5:$E$1004,"Entrada",$A$5:$A$1004,"&lt;="&amp;A329)-SUMIFS($F$5:$F$1004,$C$5:$C$1004,C329,$E$5:$E$1004,"Saída",$A$5:$A$1004,"&lt;="&amp;A329),""))</f>
        <v/>
      </c>
      <c r="J329" s="68">
        <f>IF(A329="","",A329+ROW()/100000)</f>
        <v/>
      </c>
    </row>
    <row r="330">
      <c r="A330" s="65" t="n"/>
      <c r="B330" s="58" t="n"/>
      <c r="C330" s="58" t="n"/>
      <c r="D330" s="66">
        <f>IF(C330="","",IFERROR(INDEX('Produtos'!$B$5:$B$204,MATCH(C330,'Produtos'!$A$5:$A$204,0)),"Código não cadastrado"))</f>
        <v/>
      </c>
      <c r="E330" s="58" t="n"/>
      <c r="F330" s="61" t="n"/>
      <c r="G330" s="59" t="n"/>
      <c r="H330" s="59" t="n"/>
      <c r="I330" s="67">
        <f>IF(OR(A330="",C330=""),"",IFERROR(INDEX('Produtos'!$F$5:$F$204,MATCH(C330,'Produtos'!$A$5:$A$204,0))+SUMIFS($F$5:$F$1004,$C$5:$C$1004,C330,$E$5:$E$1004,"Entrada",$A$5:$A$1004,"&lt;="&amp;A330)-SUMIFS($F$5:$F$1004,$C$5:$C$1004,C330,$E$5:$E$1004,"Saída",$A$5:$A$1004,"&lt;="&amp;A330),""))</f>
        <v/>
      </c>
      <c r="J330" s="68">
        <f>IF(A330="","",A330+ROW()/100000)</f>
        <v/>
      </c>
    </row>
    <row r="331">
      <c r="A331" s="65" t="n"/>
      <c r="B331" s="58" t="n"/>
      <c r="C331" s="58" t="n"/>
      <c r="D331" s="66">
        <f>IF(C331="","",IFERROR(INDEX('Produtos'!$B$5:$B$204,MATCH(C331,'Produtos'!$A$5:$A$204,0)),"Código não cadastrado"))</f>
        <v/>
      </c>
      <c r="E331" s="58" t="n"/>
      <c r="F331" s="61" t="n"/>
      <c r="G331" s="59" t="n"/>
      <c r="H331" s="59" t="n"/>
      <c r="I331" s="67">
        <f>IF(OR(A331="",C331=""),"",IFERROR(INDEX('Produtos'!$F$5:$F$204,MATCH(C331,'Produtos'!$A$5:$A$204,0))+SUMIFS($F$5:$F$1004,$C$5:$C$1004,C331,$E$5:$E$1004,"Entrada",$A$5:$A$1004,"&lt;="&amp;A331)-SUMIFS($F$5:$F$1004,$C$5:$C$1004,C331,$E$5:$E$1004,"Saída",$A$5:$A$1004,"&lt;="&amp;A331),""))</f>
        <v/>
      </c>
      <c r="J331" s="68">
        <f>IF(A331="","",A331+ROW()/100000)</f>
        <v/>
      </c>
    </row>
    <row r="332">
      <c r="A332" s="65" t="n"/>
      <c r="B332" s="58" t="n"/>
      <c r="C332" s="58" t="n"/>
      <c r="D332" s="66">
        <f>IF(C332="","",IFERROR(INDEX('Produtos'!$B$5:$B$204,MATCH(C332,'Produtos'!$A$5:$A$204,0)),"Código não cadastrado"))</f>
        <v/>
      </c>
      <c r="E332" s="58" t="n"/>
      <c r="F332" s="61" t="n"/>
      <c r="G332" s="59" t="n"/>
      <c r="H332" s="59" t="n"/>
      <c r="I332" s="67">
        <f>IF(OR(A332="",C332=""),"",IFERROR(INDEX('Produtos'!$F$5:$F$204,MATCH(C332,'Produtos'!$A$5:$A$204,0))+SUMIFS($F$5:$F$1004,$C$5:$C$1004,C332,$E$5:$E$1004,"Entrada",$A$5:$A$1004,"&lt;="&amp;A332)-SUMIFS($F$5:$F$1004,$C$5:$C$1004,C332,$E$5:$E$1004,"Saída",$A$5:$A$1004,"&lt;="&amp;A332),""))</f>
        <v/>
      </c>
      <c r="J332" s="68">
        <f>IF(A332="","",A332+ROW()/100000)</f>
        <v/>
      </c>
    </row>
    <row r="333">
      <c r="A333" s="65" t="n"/>
      <c r="B333" s="58" t="n"/>
      <c r="C333" s="58" t="n"/>
      <c r="D333" s="66">
        <f>IF(C333="","",IFERROR(INDEX('Produtos'!$B$5:$B$204,MATCH(C333,'Produtos'!$A$5:$A$204,0)),"Código não cadastrado"))</f>
        <v/>
      </c>
      <c r="E333" s="58" t="n"/>
      <c r="F333" s="61" t="n"/>
      <c r="G333" s="59" t="n"/>
      <c r="H333" s="59" t="n"/>
      <c r="I333" s="67">
        <f>IF(OR(A333="",C333=""),"",IFERROR(INDEX('Produtos'!$F$5:$F$204,MATCH(C333,'Produtos'!$A$5:$A$204,0))+SUMIFS($F$5:$F$1004,$C$5:$C$1004,C333,$E$5:$E$1004,"Entrada",$A$5:$A$1004,"&lt;="&amp;A333)-SUMIFS($F$5:$F$1004,$C$5:$C$1004,C333,$E$5:$E$1004,"Saída",$A$5:$A$1004,"&lt;="&amp;A333),""))</f>
        <v/>
      </c>
      <c r="J333" s="68">
        <f>IF(A333="","",A333+ROW()/100000)</f>
        <v/>
      </c>
    </row>
    <row r="334">
      <c r="A334" s="65" t="n"/>
      <c r="B334" s="58" t="n"/>
      <c r="C334" s="58" t="n"/>
      <c r="D334" s="66">
        <f>IF(C334="","",IFERROR(INDEX('Produtos'!$B$5:$B$204,MATCH(C334,'Produtos'!$A$5:$A$204,0)),"Código não cadastrado"))</f>
        <v/>
      </c>
      <c r="E334" s="58" t="n"/>
      <c r="F334" s="61" t="n"/>
      <c r="G334" s="59" t="n"/>
      <c r="H334" s="59" t="n"/>
      <c r="I334" s="67">
        <f>IF(OR(A334="",C334=""),"",IFERROR(INDEX('Produtos'!$F$5:$F$204,MATCH(C334,'Produtos'!$A$5:$A$204,0))+SUMIFS($F$5:$F$1004,$C$5:$C$1004,C334,$E$5:$E$1004,"Entrada",$A$5:$A$1004,"&lt;="&amp;A334)-SUMIFS($F$5:$F$1004,$C$5:$C$1004,C334,$E$5:$E$1004,"Saída",$A$5:$A$1004,"&lt;="&amp;A334),""))</f>
        <v/>
      </c>
      <c r="J334" s="68">
        <f>IF(A334="","",A334+ROW()/100000)</f>
        <v/>
      </c>
    </row>
    <row r="335">
      <c r="A335" s="65" t="n"/>
      <c r="B335" s="58" t="n"/>
      <c r="C335" s="58" t="n"/>
      <c r="D335" s="66">
        <f>IF(C335="","",IFERROR(INDEX('Produtos'!$B$5:$B$204,MATCH(C335,'Produtos'!$A$5:$A$204,0)),"Código não cadastrado"))</f>
        <v/>
      </c>
      <c r="E335" s="58" t="n"/>
      <c r="F335" s="61" t="n"/>
      <c r="G335" s="59" t="n"/>
      <c r="H335" s="59" t="n"/>
      <c r="I335" s="67">
        <f>IF(OR(A335="",C335=""),"",IFERROR(INDEX('Produtos'!$F$5:$F$204,MATCH(C335,'Produtos'!$A$5:$A$204,0))+SUMIFS($F$5:$F$1004,$C$5:$C$1004,C335,$E$5:$E$1004,"Entrada",$A$5:$A$1004,"&lt;="&amp;A335)-SUMIFS($F$5:$F$1004,$C$5:$C$1004,C335,$E$5:$E$1004,"Saída",$A$5:$A$1004,"&lt;="&amp;A335),""))</f>
        <v/>
      </c>
      <c r="J335" s="68">
        <f>IF(A335="","",A335+ROW()/100000)</f>
        <v/>
      </c>
    </row>
    <row r="336">
      <c r="A336" s="65" t="n"/>
      <c r="B336" s="58" t="n"/>
      <c r="C336" s="58" t="n"/>
      <c r="D336" s="66">
        <f>IF(C336="","",IFERROR(INDEX('Produtos'!$B$5:$B$204,MATCH(C336,'Produtos'!$A$5:$A$204,0)),"Código não cadastrado"))</f>
        <v/>
      </c>
      <c r="E336" s="58" t="n"/>
      <c r="F336" s="61" t="n"/>
      <c r="G336" s="59" t="n"/>
      <c r="H336" s="59" t="n"/>
      <c r="I336" s="67">
        <f>IF(OR(A336="",C336=""),"",IFERROR(INDEX('Produtos'!$F$5:$F$204,MATCH(C336,'Produtos'!$A$5:$A$204,0))+SUMIFS($F$5:$F$1004,$C$5:$C$1004,C336,$E$5:$E$1004,"Entrada",$A$5:$A$1004,"&lt;="&amp;A336)-SUMIFS($F$5:$F$1004,$C$5:$C$1004,C336,$E$5:$E$1004,"Saída",$A$5:$A$1004,"&lt;="&amp;A336),""))</f>
        <v/>
      </c>
      <c r="J336" s="68">
        <f>IF(A336="","",A336+ROW()/100000)</f>
        <v/>
      </c>
    </row>
    <row r="337">
      <c r="A337" s="65" t="n"/>
      <c r="B337" s="58" t="n"/>
      <c r="C337" s="58" t="n"/>
      <c r="D337" s="66">
        <f>IF(C337="","",IFERROR(INDEX('Produtos'!$B$5:$B$204,MATCH(C337,'Produtos'!$A$5:$A$204,0)),"Código não cadastrado"))</f>
        <v/>
      </c>
      <c r="E337" s="58" t="n"/>
      <c r="F337" s="61" t="n"/>
      <c r="G337" s="59" t="n"/>
      <c r="H337" s="59" t="n"/>
      <c r="I337" s="67">
        <f>IF(OR(A337="",C337=""),"",IFERROR(INDEX('Produtos'!$F$5:$F$204,MATCH(C337,'Produtos'!$A$5:$A$204,0))+SUMIFS($F$5:$F$1004,$C$5:$C$1004,C337,$E$5:$E$1004,"Entrada",$A$5:$A$1004,"&lt;="&amp;A337)-SUMIFS($F$5:$F$1004,$C$5:$C$1004,C337,$E$5:$E$1004,"Saída",$A$5:$A$1004,"&lt;="&amp;A337),""))</f>
        <v/>
      </c>
      <c r="J337" s="68">
        <f>IF(A337="","",A337+ROW()/100000)</f>
        <v/>
      </c>
    </row>
    <row r="338">
      <c r="A338" s="65" t="n"/>
      <c r="B338" s="58" t="n"/>
      <c r="C338" s="58" t="n"/>
      <c r="D338" s="66">
        <f>IF(C338="","",IFERROR(INDEX('Produtos'!$B$5:$B$204,MATCH(C338,'Produtos'!$A$5:$A$204,0)),"Código não cadastrado"))</f>
        <v/>
      </c>
      <c r="E338" s="58" t="n"/>
      <c r="F338" s="61" t="n"/>
      <c r="G338" s="59" t="n"/>
      <c r="H338" s="59" t="n"/>
      <c r="I338" s="67">
        <f>IF(OR(A338="",C338=""),"",IFERROR(INDEX('Produtos'!$F$5:$F$204,MATCH(C338,'Produtos'!$A$5:$A$204,0))+SUMIFS($F$5:$F$1004,$C$5:$C$1004,C338,$E$5:$E$1004,"Entrada",$A$5:$A$1004,"&lt;="&amp;A338)-SUMIFS($F$5:$F$1004,$C$5:$C$1004,C338,$E$5:$E$1004,"Saída",$A$5:$A$1004,"&lt;="&amp;A338),""))</f>
        <v/>
      </c>
      <c r="J338" s="68">
        <f>IF(A338="","",A338+ROW()/100000)</f>
        <v/>
      </c>
    </row>
    <row r="339">
      <c r="A339" s="65" t="n"/>
      <c r="B339" s="58" t="n"/>
      <c r="C339" s="58" t="n"/>
      <c r="D339" s="66">
        <f>IF(C339="","",IFERROR(INDEX('Produtos'!$B$5:$B$204,MATCH(C339,'Produtos'!$A$5:$A$204,0)),"Código não cadastrado"))</f>
        <v/>
      </c>
      <c r="E339" s="58" t="n"/>
      <c r="F339" s="61" t="n"/>
      <c r="G339" s="59" t="n"/>
      <c r="H339" s="59" t="n"/>
      <c r="I339" s="67">
        <f>IF(OR(A339="",C339=""),"",IFERROR(INDEX('Produtos'!$F$5:$F$204,MATCH(C339,'Produtos'!$A$5:$A$204,0))+SUMIFS($F$5:$F$1004,$C$5:$C$1004,C339,$E$5:$E$1004,"Entrada",$A$5:$A$1004,"&lt;="&amp;A339)-SUMIFS($F$5:$F$1004,$C$5:$C$1004,C339,$E$5:$E$1004,"Saída",$A$5:$A$1004,"&lt;="&amp;A339),""))</f>
        <v/>
      </c>
      <c r="J339" s="68">
        <f>IF(A339="","",A339+ROW()/100000)</f>
        <v/>
      </c>
    </row>
    <row r="340">
      <c r="A340" s="65" t="n"/>
      <c r="B340" s="58" t="n"/>
      <c r="C340" s="58" t="n"/>
      <c r="D340" s="66">
        <f>IF(C340="","",IFERROR(INDEX('Produtos'!$B$5:$B$204,MATCH(C340,'Produtos'!$A$5:$A$204,0)),"Código não cadastrado"))</f>
        <v/>
      </c>
      <c r="E340" s="58" t="n"/>
      <c r="F340" s="61" t="n"/>
      <c r="G340" s="59" t="n"/>
      <c r="H340" s="59" t="n"/>
      <c r="I340" s="67">
        <f>IF(OR(A340="",C340=""),"",IFERROR(INDEX('Produtos'!$F$5:$F$204,MATCH(C340,'Produtos'!$A$5:$A$204,0))+SUMIFS($F$5:$F$1004,$C$5:$C$1004,C340,$E$5:$E$1004,"Entrada",$A$5:$A$1004,"&lt;="&amp;A340)-SUMIFS($F$5:$F$1004,$C$5:$C$1004,C340,$E$5:$E$1004,"Saída",$A$5:$A$1004,"&lt;="&amp;A340),""))</f>
        <v/>
      </c>
      <c r="J340" s="68">
        <f>IF(A340="","",A340+ROW()/100000)</f>
        <v/>
      </c>
    </row>
    <row r="341">
      <c r="A341" s="65" t="n"/>
      <c r="B341" s="58" t="n"/>
      <c r="C341" s="58" t="n"/>
      <c r="D341" s="66">
        <f>IF(C341="","",IFERROR(INDEX('Produtos'!$B$5:$B$204,MATCH(C341,'Produtos'!$A$5:$A$204,0)),"Código não cadastrado"))</f>
        <v/>
      </c>
      <c r="E341" s="58" t="n"/>
      <c r="F341" s="61" t="n"/>
      <c r="G341" s="59" t="n"/>
      <c r="H341" s="59" t="n"/>
      <c r="I341" s="67">
        <f>IF(OR(A341="",C341=""),"",IFERROR(INDEX('Produtos'!$F$5:$F$204,MATCH(C341,'Produtos'!$A$5:$A$204,0))+SUMIFS($F$5:$F$1004,$C$5:$C$1004,C341,$E$5:$E$1004,"Entrada",$A$5:$A$1004,"&lt;="&amp;A341)-SUMIFS($F$5:$F$1004,$C$5:$C$1004,C341,$E$5:$E$1004,"Saída",$A$5:$A$1004,"&lt;="&amp;A341),""))</f>
        <v/>
      </c>
      <c r="J341" s="68">
        <f>IF(A341="","",A341+ROW()/100000)</f>
        <v/>
      </c>
    </row>
    <row r="342">
      <c r="A342" s="65" t="n"/>
      <c r="B342" s="58" t="n"/>
      <c r="C342" s="58" t="n"/>
      <c r="D342" s="66">
        <f>IF(C342="","",IFERROR(INDEX('Produtos'!$B$5:$B$204,MATCH(C342,'Produtos'!$A$5:$A$204,0)),"Código não cadastrado"))</f>
        <v/>
      </c>
      <c r="E342" s="58" t="n"/>
      <c r="F342" s="61" t="n"/>
      <c r="G342" s="59" t="n"/>
      <c r="H342" s="59" t="n"/>
      <c r="I342" s="67">
        <f>IF(OR(A342="",C342=""),"",IFERROR(INDEX('Produtos'!$F$5:$F$204,MATCH(C342,'Produtos'!$A$5:$A$204,0))+SUMIFS($F$5:$F$1004,$C$5:$C$1004,C342,$E$5:$E$1004,"Entrada",$A$5:$A$1004,"&lt;="&amp;A342)-SUMIFS($F$5:$F$1004,$C$5:$C$1004,C342,$E$5:$E$1004,"Saída",$A$5:$A$1004,"&lt;="&amp;A342),""))</f>
        <v/>
      </c>
      <c r="J342" s="68">
        <f>IF(A342="","",A342+ROW()/100000)</f>
        <v/>
      </c>
    </row>
    <row r="343">
      <c r="A343" s="65" t="n"/>
      <c r="B343" s="58" t="n"/>
      <c r="C343" s="58" t="n"/>
      <c r="D343" s="66">
        <f>IF(C343="","",IFERROR(INDEX('Produtos'!$B$5:$B$204,MATCH(C343,'Produtos'!$A$5:$A$204,0)),"Código não cadastrado"))</f>
        <v/>
      </c>
      <c r="E343" s="58" t="n"/>
      <c r="F343" s="61" t="n"/>
      <c r="G343" s="59" t="n"/>
      <c r="H343" s="59" t="n"/>
      <c r="I343" s="67">
        <f>IF(OR(A343="",C343=""),"",IFERROR(INDEX('Produtos'!$F$5:$F$204,MATCH(C343,'Produtos'!$A$5:$A$204,0))+SUMIFS($F$5:$F$1004,$C$5:$C$1004,C343,$E$5:$E$1004,"Entrada",$A$5:$A$1004,"&lt;="&amp;A343)-SUMIFS($F$5:$F$1004,$C$5:$C$1004,C343,$E$5:$E$1004,"Saída",$A$5:$A$1004,"&lt;="&amp;A343),""))</f>
        <v/>
      </c>
      <c r="J343" s="68">
        <f>IF(A343="","",A343+ROW()/100000)</f>
        <v/>
      </c>
    </row>
    <row r="344">
      <c r="A344" s="65" t="n"/>
      <c r="B344" s="58" t="n"/>
      <c r="C344" s="58" t="n"/>
      <c r="D344" s="66">
        <f>IF(C344="","",IFERROR(INDEX('Produtos'!$B$5:$B$204,MATCH(C344,'Produtos'!$A$5:$A$204,0)),"Código não cadastrado"))</f>
        <v/>
      </c>
      <c r="E344" s="58" t="n"/>
      <c r="F344" s="61" t="n"/>
      <c r="G344" s="59" t="n"/>
      <c r="H344" s="59" t="n"/>
      <c r="I344" s="67">
        <f>IF(OR(A344="",C344=""),"",IFERROR(INDEX('Produtos'!$F$5:$F$204,MATCH(C344,'Produtos'!$A$5:$A$204,0))+SUMIFS($F$5:$F$1004,$C$5:$C$1004,C344,$E$5:$E$1004,"Entrada",$A$5:$A$1004,"&lt;="&amp;A344)-SUMIFS($F$5:$F$1004,$C$5:$C$1004,C344,$E$5:$E$1004,"Saída",$A$5:$A$1004,"&lt;="&amp;A344),""))</f>
        <v/>
      </c>
      <c r="J344" s="68">
        <f>IF(A344="","",A344+ROW()/100000)</f>
        <v/>
      </c>
    </row>
    <row r="345">
      <c r="A345" s="65" t="n"/>
      <c r="B345" s="58" t="n"/>
      <c r="C345" s="58" t="n"/>
      <c r="D345" s="66">
        <f>IF(C345="","",IFERROR(INDEX('Produtos'!$B$5:$B$204,MATCH(C345,'Produtos'!$A$5:$A$204,0)),"Código não cadastrado"))</f>
        <v/>
      </c>
      <c r="E345" s="58" t="n"/>
      <c r="F345" s="61" t="n"/>
      <c r="G345" s="59" t="n"/>
      <c r="H345" s="59" t="n"/>
      <c r="I345" s="67">
        <f>IF(OR(A345="",C345=""),"",IFERROR(INDEX('Produtos'!$F$5:$F$204,MATCH(C345,'Produtos'!$A$5:$A$204,0))+SUMIFS($F$5:$F$1004,$C$5:$C$1004,C345,$E$5:$E$1004,"Entrada",$A$5:$A$1004,"&lt;="&amp;A345)-SUMIFS($F$5:$F$1004,$C$5:$C$1004,C345,$E$5:$E$1004,"Saída",$A$5:$A$1004,"&lt;="&amp;A345),""))</f>
        <v/>
      </c>
      <c r="J345" s="68">
        <f>IF(A345="","",A345+ROW()/100000)</f>
        <v/>
      </c>
    </row>
    <row r="346">
      <c r="A346" s="65" t="n"/>
      <c r="B346" s="58" t="n"/>
      <c r="C346" s="58" t="n"/>
      <c r="D346" s="66">
        <f>IF(C346="","",IFERROR(INDEX('Produtos'!$B$5:$B$204,MATCH(C346,'Produtos'!$A$5:$A$204,0)),"Código não cadastrado"))</f>
        <v/>
      </c>
      <c r="E346" s="58" t="n"/>
      <c r="F346" s="61" t="n"/>
      <c r="G346" s="59" t="n"/>
      <c r="H346" s="59" t="n"/>
      <c r="I346" s="67">
        <f>IF(OR(A346="",C346=""),"",IFERROR(INDEX('Produtos'!$F$5:$F$204,MATCH(C346,'Produtos'!$A$5:$A$204,0))+SUMIFS($F$5:$F$1004,$C$5:$C$1004,C346,$E$5:$E$1004,"Entrada",$A$5:$A$1004,"&lt;="&amp;A346)-SUMIFS($F$5:$F$1004,$C$5:$C$1004,C346,$E$5:$E$1004,"Saída",$A$5:$A$1004,"&lt;="&amp;A346),""))</f>
        <v/>
      </c>
      <c r="J346" s="68">
        <f>IF(A346="","",A346+ROW()/100000)</f>
        <v/>
      </c>
    </row>
    <row r="347">
      <c r="A347" s="65" t="n"/>
      <c r="B347" s="58" t="n"/>
      <c r="C347" s="58" t="n"/>
      <c r="D347" s="66">
        <f>IF(C347="","",IFERROR(INDEX('Produtos'!$B$5:$B$204,MATCH(C347,'Produtos'!$A$5:$A$204,0)),"Código não cadastrado"))</f>
        <v/>
      </c>
      <c r="E347" s="58" t="n"/>
      <c r="F347" s="61" t="n"/>
      <c r="G347" s="59" t="n"/>
      <c r="H347" s="59" t="n"/>
      <c r="I347" s="67">
        <f>IF(OR(A347="",C347=""),"",IFERROR(INDEX('Produtos'!$F$5:$F$204,MATCH(C347,'Produtos'!$A$5:$A$204,0))+SUMIFS($F$5:$F$1004,$C$5:$C$1004,C347,$E$5:$E$1004,"Entrada",$A$5:$A$1004,"&lt;="&amp;A347)-SUMIFS($F$5:$F$1004,$C$5:$C$1004,C347,$E$5:$E$1004,"Saída",$A$5:$A$1004,"&lt;="&amp;A347),""))</f>
        <v/>
      </c>
      <c r="J347" s="68">
        <f>IF(A347="","",A347+ROW()/100000)</f>
        <v/>
      </c>
    </row>
    <row r="348">
      <c r="A348" s="65" t="n"/>
      <c r="B348" s="58" t="n"/>
      <c r="C348" s="58" t="n"/>
      <c r="D348" s="66">
        <f>IF(C348="","",IFERROR(INDEX('Produtos'!$B$5:$B$204,MATCH(C348,'Produtos'!$A$5:$A$204,0)),"Código não cadastrado"))</f>
        <v/>
      </c>
      <c r="E348" s="58" t="n"/>
      <c r="F348" s="61" t="n"/>
      <c r="G348" s="59" t="n"/>
      <c r="H348" s="59" t="n"/>
      <c r="I348" s="67">
        <f>IF(OR(A348="",C348=""),"",IFERROR(INDEX('Produtos'!$F$5:$F$204,MATCH(C348,'Produtos'!$A$5:$A$204,0))+SUMIFS($F$5:$F$1004,$C$5:$C$1004,C348,$E$5:$E$1004,"Entrada",$A$5:$A$1004,"&lt;="&amp;A348)-SUMIFS($F$5:$F$1004,$C$5:$C$1004,C348,$E$5:$E$1004,"Saída",$A$5:$A$1004,"&lt;="&amp;A348),""))</f>
        <v/>
      </c>
      <c r="J348" s="68">
        <f>IF(A348="","",A348+ROW()/100000)</f>
        <v/>
      </c>
    </row>
    <row r="349">
      <c r="A349" s="65" t="n"/>
      <c r="B349" s="58" t="n"/>
      <c r="C349" s="58" t="n"/>
      <c r="D349" s="66">
        <f>IF(C349="","",IFERROR(INDEX('Produtos'!$B$5:$B$204,MATCH(C349,'Produtos'!$A$5:$A$204,0)),"Código não cadastrado"))</f>
        <v/>
      </c>
      <c r="E349" s="58" t="n"/>
      <c r="F349" s="61" t="n"/>
      <c r="G349" s="59" t="n"/>
      <c r="H349" s="59" t="n"/>
      <c r="I349" s="67">
        <f>IF(OR(A349="",C349=""),"",IFERROR(INDEX('Produtos'!$F$5:$F$204,MATCH(C349,'Produtos'!$A$5:$A$204,0))+SUMIFS($F$5:$F$1004,$C$5:$C$1004,C349,$E$5:$E$1004,"Entrada",$A$5:$A$1004,"&lt;="&amp;A349)-SUMIFS($F$5:$F$1004,$C$5:$C$1004,C349,$E$5:$E$1004,"Saída",$A$5:$A$1004,"&lt;="&amp;A349),""))</f>
        <v/>
      </c>
      <c r="J349" s="68">
        <f>IF(A349="","",A349+ROW()/100000)</f>
        <v/>
      </c>
    </row>
    <row r="350">
      <c r="A350" s="65" t="n"/>
      <c r="B350" s="58" t="n"/>
      <c r="C350" s="58" t="n"/>
      <c r="D350" s="66">
        <f>IF(C350="","",IFERROR(INDEX('Produtos'!$B$5:$B$204,MATCH(C350,'Produtos'!$A$5:$A$204,0)),"Código não cadastrado"))</f>
        <v/>
      </c>
      <c r="E350" s="58" t="n"/>
      <c r="F350" s="61" t="n"/>
      <c r="G350" s="59" t="n"/>
      <c r="H350" s="59" t="n"/>
      <c r="I350" s="67">
        <f>IF(OR(A350="",C350=""),"",IFERROR(INDEX('Produtos'!$F$5:$F$204,MATCH(C350,'Produtos'!$A$5:$A$204,0))+SUMIFS($F$5:$F$1004,$C$5:$C$1004,C350,$E$5:$E$1004,"Entrada",$A$5:$A$1004,"&lt;="&amp;A350)-SUMIFS($F$5:$F$1004,$C$5:$C$1004,C350,$E$5:$E$1004,"Saída",$A$5:$A$1004,"&lt;="&amp;A350),""))</f>
        <v/>
      </c>
      <c r="J350" s="68">
        <f>IF(A350="","",A350+ROW()/100000)</f>
        <v/>
      </c>
    </row>
    <row r="351">
      <c r="A351" s="65" t="n"/>
      <c r="B351" s="58" t="n"/>
      <c r="C351" s="58" t="n"/>
      <c r="D351" s="66">
        <f>IF(C351="","",IFERROR(INDEX('Produtos'!$B$5:$B$204,MATCH(C351,'Produtos'!$A$5:$A$204,0)),"Código não cadastrado"))</f>
        <v/>
      </c>
      <c r="E351" s="58" t="n"/>
      <c r="F351" s="61" t="n"/>
      <c r="G351" s="59" t="n"/>
      <c r="H351" s="59" t="n"/>
      <c r="I351" s="67">
        <f>IF(OR(A351="",C351=""),"",IFERROR(INDEX('Produtos'!$F$5:$F$204,MATCH(C351,'Produtos'!$A$5:$A$204,0))+SUMIFS($F$5:$F$1004,$C$5:$C$1004,C351,$E$5:$E$1004,"Entrada",$A$5:$A$1004,"&lt;="&amp;A351)-SUMIFS($F$5:$F$1004,$C$5:$C$1004,C351,$E$5:$E$1004,"Saída",$A$5:$A$1004,"&lt;="&amp;A351),""))</f>
        <v/>
      </c>
      <c r="J351" s="68">
        <f>IF(A351="","",A351+ROW()/100000)</f>
        <v/>
      </c>
    </row>
    <row r="352">
      <c r="A352" s="65" t="n"/>
      <c r="B352" s="58" t="n"/>
      <c r="C352" s="58" t="n"/>
      <c r="D352" s="66">
        <f>IF(C352="","",IFERROR(INDEX('Produtos'!$B$5:$B$204,MATCH(C352,'Produtos'!$A$5:$A$204,0)),"Código não cadastrado"))</f>
        <v/>
      </c>
      <c r="E352" s="58" t="n"/>
      <c r="F352" s="61" t="n"/>
      <c r="G352" s="59" t="n"/>
      <c r="H352" s="59" t="n"/>
      <c r="I352" s="67">
        <f>IF(OR(A352="",C352=""),"",IFERROR(INDEX('Produtos'!$F$5:$F$204,MATCH(C352,'Produtos'!$A$5:$A$204,0))+SUMIFS($F$5:$F$1004,$C$5:$C$1004,C352,$E$5:$E$1004,"Entrada",$A$5:$A$1004,"&lt;="&amp;A352)-SUMIFS($F$5:$F$1004,$C$5:$C$1004,C352,$E$5:$E$1004,"Saída",$A$5:$A$1004,"&lt;="&amp;A352),""))</f>
        <v/>
      </c>
      <c r="J352" s="68">
        <f>IF(A352="","",A352+ROW()/100000)</f>
        <v/>
      </c>
    </row>
    <row r="353">
      <c r="A353" s="65" t="n"/>
      <c r="B353" s="58" t="n"/>
      <c r="C353" s="58" t="n"/>
      <c r="D353" s="66">
        <f>IF(C353="","",IFERROR(INDEX('Produtos'!$B$5:$B$204,MATCH(C353,'Produtos'!$A$5:$A$204,0)),"Código não cadastrado"))</f>
        <v/>
      </c>
      <c r="E353" s="58" t="n"/>
      <c r="F353" s="61" t="n"/>
      <c r="G353" s="59" t="n"/>
      <c r="H353" s="59" t="n"/>
      <c r="I353" s="67">
        <f>IF(OR(A353="",C353=""),"",IFERROR(INDEX('Produtos'!$F$5:$F$204,MATCH(C353,'Produtos'!$A$5:$A$204,0))+SUMIFS($F$5:$F$1004,$C$5:$C$1004,C353,$E$5:$E$1004,"Entrada",$A$5:$A$1004,"&lt;="&amp;A353)-SUMIFS($F$5:$F$1004,$C$5:$C$1004,C353,$E$5:$E$1004,"Saída",$A$5:$A$1004,"&lt;="&amp;A353),""))</f>
        <v/>
      </c>
      <c r="J353" s="68">
        <f>IF(A353="","",A353+ROW()/100000)</f>
        <v/>
      </c>
    </row>
    <row r="354">
      <c r="A354" s="65" t="n"/>
      <c r="B354" s="58" t="n"/>
      <c r="C354" s="58" t="n"/>
      <c r="D354" s="66">
        <f>IF(C354="","",IFERROR(INDEX('Produtos'!$B$5:$B$204,MATCH(C354,'Produtos'!$A$5:$A$204,0)),"Código não cadastrado"))</f>
        <v/>
      </c>
      <c r="E354" s="58" t="n"/>
      <c r="F354" s="61" t="n"/>
      <c r="G354" s="59" t="n"/>
      <c r="H354" s="59" t="n"/>
      <c r="I354" s="67">
        <f>IF(OR(A354="",C354=""),"",IFERROR(INDEX('Produtos'!$F$5:$F$204,MATCH(C354,'Produtos'!$A$5:$A$204,0))+SUMIFS($F$5:$F$1004,$C$5:$C$1004,C354,$E$5:$E$1004,"Entrada",$A$5:$A$1004,"&lt;="&amp;A354)-SUMIFS($F$5:$F$1004,$C$5:$C$1004,C354,$E$5:$E$1004,"Saída",$A$5:$A$1004,"&lt;="&amp;A354),""))</f>
        <v/>
      </c>
      <c r="J354" s="68">
        <f>IF(A354="","",A354+ROW()/100000)</f>
        <v/>
      </c>
    </row>
    <row r="355">
      <c r="A355" s="65" t="n"/>
      <c r="B355" s="58" t="n"/>
      <c r="C355" s="58" t="n"/>
      <c r="D355" s="66">
        <f>IF(C355="","",IFERROR(INDEX('Produtos'!$B$5:$B$204,MATCH(C355,'Produtos'!$A$5:$A$204,0)),"Código não cadastrado"))</f>
        <v/>
      </c>
      <c r="E355" s="58" t="n"/>
      <c r="F355" s="61" t="n"/>
      <c r="G355" s="59" t="n"/>
      <c r="H355" s="59" t="n"/>
      <c r="I355" s="67">
        <f>IF(OR(A355="",C355=""),"",IFERROR(INDEX('Produtos'!$F$5:$F$204,MATCH(C355,'Produtos'!$A$5:$A$204,0))+SUMIFS($F$5:$F$1004,$C$5:$C$1004,C355,$E$5:$E$1004,"Entrada",$A$5:$A$1004,"&lt;="&amp;A355)-SUMIFS($F$5:$F$1004,$C$5:$C$1004,C355,$E$5:$E$1004,"Saída",$A$5:$A$1004,"&lt;="&amp;A355),""))</f>
        <v/>
      </c>
      <c r="J355" s="68">
        <f>IF(A355="","",A355+ROW()/100000)</f>
        <v/>
      </c>
    </row>
    <row r="356">
      <c r="A356" s="65" t="n"/>
      <c r="B356" s="58" t="n"/>
      <c r="C356" s="58" t="n"/>
      <c r="D356" s="66">
        <f>IF(C356="","",IFERROR(INDEX('Produtos'!$B$5:$B$204,MATCH(C356,'Produtos'!$A$5:$A$204,0)),"Código não cadastrado"))</f>
        <v/>
      </c>
      <c r="E356" s="58" t="n"/>
      <c r="F356" s="61" t="n"/>
      <c r="G356" s="59" t="n"/>
      <c r="H356" s="59" t="n"/>
      <c r="I356" s="67">
        <f>IF(OR(A356="",C356=""),"",IFERROR(INDEX('Produtos'!$F$5:$F$204,MATCH(C356,'Produtos'!$A$5:$A$204,0))+SUMIFS($F$5:$F$1004,$C$5:$C$1004,C356,$E$5:$E$1004,"Entrada",$A$5:$A$1004,"&lt;="&amp;A356)-SUMIFS($F$5:$F$1004,$C$5:$C$1004,C356,$E$5:$E$1004,"Saída",$A$5:$A$1004,"&lt;="&amp;A356),""))</f>
        <v/>
      </c>
      <c r="J356" s="68">
        <f>IF(A356="","",A356+ROW()/100000)</f>
        <v/>
      </c>
    </row>
    <row r="357">
      <c r="A357" s="65" t="n"/>
      <c r="B357" s="58" t="n"/>
      <c r="C357" s="58" t="n"/>
      <c r="D357" s="66">
        <f>IF(C357="","",IFERROR(INDEX('Produtos'!$B$5:$B$204,MATCH(C357,'Produtos'!$A$5:$A$204,0)),"Código não cadastrado"))</f>
        <v/>
      </c>
      <c r="E357" s="58" t="n"/>
      <c r="F357" s="61" t="n"/>
      <c r="G357" s="59" t="n"/>
      <c r="H357" s="59" t="n"/>
      <c r="I357" s="67">
        <f>IF(OR(A357="",C357=""),"",IFERROR(INDEX('Produtos'!$F$5:$F$204,MATCH(C357,'Produtos'!$A$5:$A$204,0))+SUMIFS($F$5:$F$1004,$C$5:$C$1004,C357,$E$5:$E$1004,"Entrada",$A$5:$A$1004,"&lt;="&amp;A357)-SUMIFS($F$5:$F$1004,$C$5:$C$1004,C357,$E$5:$E$1004,"Saída",$A$5:$A$1004,"&lt;="&amp;A357),""))</f>
        <v/>
      </c>
      <c r="J357" s="68">
        <f>IF(A357="","",A357+ROW()/100000)</f>
        <v/>
      </c>
    </row>
    <row r="358">
      <c r="A358" s="65" t="n"/>
      <c r="B358" s="58" t="n"/>
      <c r="C358" s="58" t="n"/>
      <c r="D358" s="66">
        <f>IF(C358="","",IFERROR(INDEX('Produtos'!$B$5:$B$204,MATCH(C358,'Produtos'!$A$5:$A$204,0)),"Código não cadastrado"))</f>
        <v/>
      </c>
      <c r="E358" s="58" t="n"/>
      <c r="F358" s="61" t="n"/>
      <c r="G358" s="59" t="n"/>
      <c r="H358" s="59" t="n"/>
      <c r="I358" s="67">
        <f>IF(OR(A358="",C358=""),"",IFERROR(INDEX('Produtos'!$F$5:$F$204,MATCH(C358,'Produtos'!$A$5:$A$204,0))+SUMIFS($F$5:$F$1004,$C$5:$C$1004,C358,$E$5:$E$1004,"Entrada",$A$5:$A$1004,"&lt;="&amp;A358)-SUMIFS($F$5:$F$1004,$C$5:$C$1004,C358,$E$5:$E$1004,"Saída",$A$5:$A$1004,"&lt;="&amp;A358),""))</f>
        <v/>
      </c>
      <c r="J358" s="68">
        <f>IF(A358="","",A358+ROW()/100000)</f>
        <v/>
      </c>
    </row>
    <row r="359">
      <c r="A359" s="65" t="n"/>
      <c r="B359" s="58" t="n"/>
      <c r="C359" s="58" t="n"/>
      <c r="D359" s="66">
        <f>IF(C359="","",IFERROR(INDEX('Produtos'!$B$5:$B$204,MATCH(C359,'Produtos'!$A$5:$A$204,0)),"Código não cadastrado"))</f>
        <v/>
      </c>
      <c r="E359" s="58" t="n"/>
      <c r="F359" s="61" t="n"/>
      <c r="G359" s="59" t="n"/>
      <c r="H359" s="59" t="n"/>
      <c r="I359" s="67">
        <f>IF(OR(A359="",C359=""),"",IFERROR(INDEX('Produtos'!$F$5:$F$204,MATCH(C359,'Produtos'!$A$5:$A$204,0))+SUMIFS($F$5:$F$1004,$C$5:$C$1004,C359,$E$5:$E$1004,"Entrada",$A$5:$A$1004,"&lt;="&amp;A359)-SUMIFS($F$5:$F$1004,$C$5:$C$1004,C359,$E$5:$E$1004,"Saída",$A$5:$A$1004,"&lt;="&amp;A359),""))</f>
        <v/>
      </c>
      <c r="J359" s="68">
        <f>IF(A359="","",A359+ROW()/100000)</f>
        <v/>
      </c>
    </row>
    <row r="360">
      <c r="A360" s="65" t="n"/>
      <c r="B360" s="58" t="n"/>
      <c r="C360" s="58" t="n"/>
      <c r="D360" s="66">
        <f>IF(C360="","",IFERROR(INDEX('Produtos'!$B$5:$B$204,MATCH(C360,'Produtos'!$A$5:$A$204,0)),"Código não cadastrado"))</f>
        <v/>
      </c>
      <c r="E360" s="58" t="n"/>
      <c r="F360" s="61" t="n"/>
      <c r="G360" s="59" t="n"/>
      <c r="H360" s="59" t="n"/>
      <c r="I360" s="67">
        <f>IF(OR(A360="",C360=""),"",IFERROR(INDEX('Produtos'!$F$5:$F$204,MATCH(C360,'Produtos'!$A$5:$A$204,0))+SUMIFS($F$5:$F$1004,$C$5:$C$1004,C360,$E$5:$E$1004,"Entrada",$A$5:$A$1004,"&lt;="&amp;A360)-SUMIFS($F$5:$F$1004,$C$5:$C$1004,C360,$E$5:$E$1004,"Saída",$A$5:$A$1004,"&lt;="&amp;A360),""))</f>
        <v/>
      </c>
      <c r="J360" s="68">
        <f>IF(A360="","",A360+ROW()/100000)</f>
        <v/>
      </c>
    </row>
    <row r="361">
      <c r="A361" s="65" t="n"/>
      <c r="B361" s="58" t="n"/>
      <c r="C361" s="58" t="n"/>
      <c r="D361" s="66">
        <f>IF(C361="","",IFERROR(INDEX('Produtos'!$B$5:$B$204,MATCH(C361,'Produtos'!$A$5:$A$204,0)),"Código não cadastrado"))</f>
        <v/>
      </c>
      <c r="E361" s="58" t="n"/>
      <c r="F361" s="61" t="n"/>
      <c r="G361" s="59" t="n"/>
      <c r="H361" s="59" t="n"/>
      <c r="I361" s="67">
        <f>IF(OR(A361="",C361=""),"",IFERROR(INDEX('Produtos'!$F$5:$F$204,MATCH(C361,'Produtos'!$A$5:$A$204,0))+SUMIFS($F$5:$F$1004,$C$5:$C$1004,C361,$E$5:$E$1004,"Entrada",$A$5:$A$1004,"&lt;="&amp;A361)-SUMIFS($F$5:$F$1004,$C$5:$C$1004,C361,$E$5:$E$1004,"Saída",$A$5:$A$1004,"&lt;="&amp;A361),""))</f>
        <v/>
      </c>
      <c r="J361" s="68">
        <f>IF(A361="","",A361+ROW()/100000)</f>
        <v/>
      </c>
    </row>
    <row r="362">
      <c r="A362" s="65" t="n"/>
      <c r="B362" s="58" t="n"/>
      <c r="C362" s="58" t="n"/>
      <c r="D362" s="66">
        <f>IF(C362="","",IFERROR(INDEX('Produtos'!$B$5:$B$204,MATCH(C362,'Produtos'!$A$5:$A$204,0)),"Código não cadastrado"))</f>
        <v/>
      </c>
      <c r="E362" s="58" t="n"/>
      <c r="F362" s="61" t="n"/>
      <c r="G362" s="59" t="n"/>
      <c r="H362" s="59" t="n"/>
      <c r="I362" s="67">
        <f>IF(OR(A362="",C362=""),"",IFERROR(INDEX('Produtos'!$F$5:$F$204,MATCH(C362,'Produtos'!$A$5:$A$204,0))+SUMIFS($F$5:$F$1004,$C$5:$C$1004,C362,$E$5:$E$1004,"Entrada",$A$5:$A$1004,"&lt;="&amp;A362)-SUMIFS($F$5:$F$1004,$C$5:$C$1004,C362,$E$5:$E$1004,"Saída",$A$5:$A$1004,"&lt;="&amp;A362),""))</f>
        <v/>
      </c>
      <c r="J362" s="68">
        <f>IF(A362="","",A362+ROW()/100000)</f>
        <v/>
      </c>
    </row>
    <row r="363">
      <c r="A363" s="65" t="n"/>
      <c r="B363" s="58" t="n"/>
      <c r="C363" s="58" t="n"/>
      <c r="D363" s="66">
        <f>IF(C363="","",IFERROR(INDEX('Produtos'!$B$5:$B$204,MATCH(C363,'Produtos'!$A$5:$A$204,0)),"Código não cadastrado"))</f>
        <v/>
      </c>
      <c r="E363" s="58" t="n"/>
      <c r="F363" s="61" t="n"/>
      <c r="G363" s="59" t="n"/>
      <c r="H363" s="59" t="n"/>
      <c r="I363" s="67">
        <f>IF(OR(A363="",C363=""),"",IFERROR(INDEX('Produtos'!$F$5:$F$204,MATCH(C363,'Produtos'!$A$5:$A$204,0))+SUMIFS($F$5:$F$1004,$C$5:$C$1004,C363,$E$5:$E$1004,"Entrada",$A$5:$A$1004,"&lt;="&amp;A363)-SUMIFS($F$5:$F$1004,$C$5:$C$1004,C363,$E$5:$E$1004,"Saída",$A$5:$A$1004,"&lt;="&amp;A363),""))</f>
        <v/>
      </c>
      <c r="J363" s="68">
        <f>IF(A363="","",A363+ROW()/100000)</f>
        <v/>
      </c>
    </row>
    <row r="364">
      <c r="A364" s="65" t="n"/>
      <c r="B364" s="58" t="n"/>
      <c r="C364" s="58" t="n"/>
      <c r="D364" s="66">
        <f>IF(C364="","",IFERROR(INDEX('Produtos'!$B$5:$B$204,MATCH(C364,'Produtos'!$A$5:$A$204,0)),"Código não cadastrado"))</f>
        <v/>
      </c>
      <c r="E364" s="58" t="n"/>
      <c r="F364" s="61" t="n"/>
      <c r="G364" s="59" t="n"/>
      <c r="H364" s="59" t="n"/>
      <c r="I364" s="67">
        <f>IF(OR(A364="",C364=""),"",IFERROR(INDEX('Produtos'!$F$5:$F$204,MATCH(C364,'Produtos'!$A$5:$A$204,0))+SUMIFS($F$5:$F$1004,$C$5:$C$1004,C364,$E$5:$E$1004,"Entrada",$A$5:$A$1004,"&lt;="&amp;A364)-SUMIFS($F$5:$F$1004,$C$5:$C$1004,C364,$E$5:$E$1004,"Saída",$A$5:$A$1004,"&lt;="&amp;A364),""))</f>
        <v/>
      </c>
      <c r="J364" s="68">
        <f>IF(A364="","",A364+ROW()/100000)</f>
        <v/>
      </c>
    </row>
    <row r="365">
      <c r="A365" s="65" t="n"/>
      <c r="B365" s="58" t="n"/>
      <c r="C365" s="58" t="n"/>
      <c r="D365" s="66">
        <f>IF(C365="","",IFERROR(INDEX('Produtos'!$B$5:$B$204,MATCH(C365,'Produtos'!$A$5:$A$204,0)),"Código não cadastrado"))</f>
        <v/>
      </c>
      <c r="E365" s="58" t="n"/>
      <c r="F365" s="61" t="n"/>
      <c r="G365" s="59" t="n"/>
      <c r="H365" s="59" t="n"/>
      <c r="I365" s="67">
        <f>IF(OR(A365="",C365=""),"",IFERROR(INDEX('Produtos'!$F$5:$F$204,MATCH(C365,'Produtos'!$A$5:$A$204,0))+SUMIFS($F$5:$F$1004,$C$5:$C$1004,C365,$E$5:$E$1004,"Entrada",$A$5:$A$1004,"&lt;="&amp;A365)-SUMIFS($F$5:$F$1004,$C$5:$C$1004,C365,$E$5:$E$1004,"Saída",$A$5:$A$1004,"&lt;="&amp;A365),""))</f>
        <v/>
      </c>
      <c r="J365" s="68">
        <f>IF(A365="","",A365+ROW()/100000)</f>
        <v/>
      </c>
    </row>
    <row r="366">
      <c r="A366" s="65" t="n"/>
      <c r="B366" s="58" t="n"/>
      <c r="C366" s="58" t="n"/>
      <c r="D366" s="66">
        <f>IF(C366="","",IFERROR(INDEX('Produtos'!$B$5:$B$204,MATCH(C366,'Produtos'!$A$5:$A$204,0)),"Código não cadastrado"))</f>
        <v/>
      </c>
      <c r="E366" s="58" t="n"/>
      <c r="F366" s="61" t="n"/>
      <c r="G366" s="59" t="n"/>
      <c r="H366" s="59" t="n"/>
      <c r="I366" s="67">
        <f>IF(OR(A366="",C366=""),"",IFERROR(INDEX('Produtos'!$F$5:$F$204,MATCH(C366,'Produtos'!$A$5:$A$204,0))+SUMIFS($F$5:$F$1004,$C$5:$C$1004,C366,$E$5:$E$1004,"Entrada",$A$5:$A$1004,"&lt;="&amp;A366)-SUMIFS($F$5:$F$1004,$C$5:$C$1004,C366,$E$5:$E$1004,"Saída",$A$5:$A$1004,"&lt;="&amp;A366),""))</f>
        <v/>
      </c>
      <c r="J366" s="68">
        <f>IF(A366="","",A366+ROW()/100000)</f>
        <v/>
      </c>
    </row>
    <row r="367">
      <c r="A367" s="65" t="n"/>
      <c r="B367" s="58" t="n"/>
      <c r="C367" s="58" t="n"/>
      <c r="D367" s="66">
        <f>IF(C367="","",IFERROR(INDEX('Produtos'!$B$5:$B$204,MATCH(C367,'Produtos'!$A$5:$A$204,0)),"Código não cadastrado"))</f>
        <v/>
      </c>
      <c r="E367" s="58" t="n"/>
      <c r="F367" s="61" t="n"/>
      <c r="G367" s="59" t="n"/>
      <c r="H367" s="59" t="n"/>
      <c r="I367" s="67">
        <f>IF(OR(A367="",C367=""),"",IFERROR(INDEX('Produtos'!$F$5:$F$204,MATCH(C367,'Produtos'!$A$5:$A$204,0))+SUMIFS($F$5:$F$1004,$C$5:$C$1004,C367,$E$5:$E$1004,"Entrada",$A$5:$A$1004,"&lt;="&amp;A367)-SUMIFS($F$5:$F$1004,$C$5:$C$1004,C367,$E$5:$E$1004,"Saída",$A$5:$A$1004,"&lt;="&amp;A367),""))</f>
        <v/>
      </c>
      <c r="J367" s="68">
        <f>IF(A367="","",A367+ROW()/100000)</f>
        <v/>
      </c>
    </row>
    <row r="368">
      <c r="A368" s="65" t="n"/>
      <c r="B368" s="58" t="n"/>
      <c r="C368" s="58" t="n"/>
      <c r="D368" s="66">
        <f>IF(C368="","",IFERROR(INDEX('Produtos'!$B$5:$B$204,MATCH(C368,'Produtos'!$A$5:$A$204,0)),"Código não cadastrado"))</f>
        <v/>
      </c>
      <c r="E368" s="58" t="n"/>
      <c r="F368" s="61" t="n"/>
      <c r="G368" s="59" t="n"/>
      <c r="H368" s="59" t="n"/>
      <c r="I368" s="67">
        <f>IF(OR(A368="",C368=""),"",IFERROR(INDEX('Produtos'!$F$5:$F$204,MATCH(C368,'Produtos'!$A$5:$A$204,0))+SUMIFS($F$5:$F$1004,$C$5:$C$1004,C368,$E$5:$E$1004,"Entrada",$A$5:$A$1004,"&lt;="&amp;A368)-SUMIFS($F$5:$F$1004,$C$5:$C$1004,C368,$E$5:$E$1004,"Saída",$A$5:$A$1004,"&lt;="&amp;A368),""))</f>
        <v/>
      </c>
      <c r="J368" s="68">
        <f>IF(A368="","",A368+ROW()/100000)</f>
        <v/>
      </c>
    </row>
    <row r="369">
      <c r="A369" s="65" t="n"/>
      <c r="B369" s="58" t="n"/>
      <c r="C369" s="58" t="n"/>
      <c r="D369" s="66">
        <f>IF(C369="","",IFERROR(INDEX('Produtos'!$B$5:$B$204,MATCH(C369,'Produtos'!$A$5:$A$204,0)),"Código não cadastrado"))</f>
        <v/>
      </c>
      <c r="E369" s="58" t="n"/>
      <c r="F369" s="61" t="n"/>
      <c r="G369" s="59" t="n"/>
      <c r="H369" s="59" t="n"/>
      <c r="I369" s="67">
        <f>IF(OR(A369="",C369=""),"",IFERROR(INDEX('Produtos'!$F$5:$F$204,MATCH(C369,'Produtos'!$A$5:$A$204,0))+SUMIFS($F$5:$F$1004,$C$5:$C$1004,C369,$E$5:$E$1004,"Entrada",$A$5:$A$1004,"&lt;="&amp;A369)-SUMIFS($F$5:$F$1004,$C$5:$C$1004,C369,$E$5:$E$1004,"Saída",$A$5:$A$1004,"&lt;="&amp;A369),""))</f>
        <v/>
      </c>
      <c r="J369" s="68">
        <f>IF(A369="","",A369+ROW()/100000)</f>
        <v/>
      </c>
    </row>
    <row r="370">
      <c r="A370" s="65" t="n"/>
      <c r="B370" s="58" t="n"/>
      <c r="C370" s="58" t="n"/>
      <c r="D370" s="66">
        <f>IF(C370="","",IFERROR(INDEX('Produtos'!$B$5:$B$204,MATCH(C370,'Produtos'!$A$5:$A$204,0)),"Código não cadastrado"))</f>
        <v/>
      </c>
      <c r="E370" s="58" t="n"/>
      <c r="F370" s="61" t="n"/>
      <c r="G370" s="59" t="n"/>
      <c r="H370" s="59" t="n"/>
      <c r="I370" s="67">
        <f>IF(OR(A370="",C370=""),"",IFERROR(INDEX('Produtos'!$F$5:$F$204,MATCH(C370,'Produtos'!$A$5:$A$204,0))+SUMIFS($F$5:$F$1004,$C$5:$C$1004,C370,$E$5:$E$1004,"Entrada",$A$5:$A$1004,"&lt;="&amp;A370)-SUMIFS($F$5:$F$1004,$C$5:$C$1004,C370,$E$5:$E$1004,"Saída",$A$5:$A$1004,"&lt;="&amp;A370),""))</f>
        <v/>
      </c>
      <c r="J370" s="68">
        <f>IF(A370="","",A370+ROW()/100000)</f>
        <v/>
      </c>
    </row>
    <row r="371">
      <c r="A371" s="65" t="n"/>
      <c r="B371" s="58" t="n"/>
      <c r="C371" s="58" t="n"/>
      <c r="D371" s="66">
        <f>IF(C371="","",IFERROR(INDEX('Produtos'!$B$5:$B$204,MATCH(C371,'Produtos'!$A$5:$A$204,0)),"Código não cadastrado"))</f>
        <v/>
      </c>
      <c r="E371" s="58" t="n"/>
      <c r="F371" s="61" t="n"/>
      <c r="G371" s="59" t="n"/>
      <c r="H371" s="59" t="n"/>
      <c r="I371" s="67">
        <f>IF(OR(A371="",C371=""),"",IFERROR(INDEX('Produtos'!$F$5:$F$204,MATCH(C371,'Produtos'!$A$5:$A$204,0))+SUMIFS($F$5:$F$1004,$C$5:$C$1004,C371,$E$5:$E$1004,"Entrada",$A$5:$A$1004,"&lt;="&amp;A371)-SUMIFS($F$5:$F$1004,$C$5:$C$1004,C371,$E$5:$E$1004,"Saída",$A$5:$A$1004,"&lt;="&amp;A371),""))</f>
        <v/>
      </c>
      <c r="J371" s="68">
        <f>IF(A371="","",A371+ROW()/100000)</f>
        <v/>
      </c>
    </row>
    <row r="372">
      <c r="A372" s="65" t="n"/>
      <c r="B372" s="58" t="n"/>
      <c r="C372" s="58" t="n"/>
      <c r="D372" s="66">
        <f>IF(C372="","",IFERROR(INDEX('Produtos'!$B$5:$B$204,MATCH(C372,'Produtos'!$A$5:$A$204,0)),"Código não cadastrado"))</f>
        <v/>
      </c>
      <c r="E372" s="58" t="n"/>
      <c r="F372" s="61" t="n"/>
      <c r="G372" s="59" t="n"/>
      <c r="H372" s="59" t="n"/>
      <c r="I372" s="67">
        <f>IF(OR(A372="",C372=""),"",IFERROR(INDEX('Produtos'!$F$5:$F$204,MATCH(C372,'Produtos'!$A$5:$A$204,0))+SUMIFS($F$5:$F$1004,$C$5:$C$1004,C372,$E$5:$E$1004,"Entrada",$A$5:$A$1004,"&lt;="&amp;A372)-SUMIFS($F$5:$F$1004,$C$5:$C$1004,C372,$E$5:$E$1004,"Saída",$A$5:$A$1004,"&lt;="&amp;A372),""))</f>
        <v/>
      </c>
      <c r="J372" s="68">
        <f>IF(A372="","",A372+ROW()/100000)</f>
        <v/>
      </c>
    </row>
    <row r="373">
      <c r="A373" s="65" t="n"/>
      <c r="B373" s="58" t="n"/>
      <c r="C373" s="58" t="n"/>
      <c r="D373" s="66">
        <f>IF(C373="","",IFERROR(INDEX('Produtos'!$B$5:$B$204,MATCH(C373,'Produtos'!$A$5:$A$204,0)),"Código não cadastrado"))</f>
        <v/>
      </c>
      <c r="E373" s="58" t="n"/>
      <c r="F373" s="61" t="n"/>
      <c r="G373" s="59" t="n"/>
      <c r="H373" s="59" t="n"/>
      <c r="I373" s="67">
        <f>IF(OR(A373="",C373=""),"",IFERROR(INDEX('Produtos'!$F$5:$F$204,MATCH(C373,'Produtos'!$A$5:$A$204,0))+SUMIFS($F$5:$F$1004,$C$5:$C$1004,C373,$E$5:$E$1004,"Entrada",$A$5:$A$1004,"&lt;="&amp;A373)-SUMIFS($F$5:$F$1004,$C$5:$C$1004,C373,$E$5:$E$1004,"Saída",$A$5:$A$1004,"&lt;="&amp;A373),""))</f>
        <v/>
      </c>
      <c r="J373" s="68">
        <f>IF(A373="","",A373+ROW()/100000)</f>
        <v/>
      </c>
    </row>
    <row r="374">
      <c r="A374" s="65" t="n"/>
      <c r="B374" s="58" t="n"/>
      <c r="C374" s="58" t="n"/>
      <c r="D374" s="66">
        <f>IF(C374="","",IFERROR(INDEX('Produtos'!$B$5:$B$204,MATCH(C374,'Produtos'!$A$5:$A$204,0)),"Código não cadastrado"))</f>
        <v/>
      </c>
      <c r="E374" s="58" t="n"/>
      <c r="F374" s="61" t="n"/>
      <c r="G374" s="59" t="n"/>
      <c r="H374" s="59" t="n"/>
      <c r="I374" s="67">
        <f>IF(OR(A374="",C374=""),"",IFERROR(INDEX('Produtos'!$F$5:$F$204,MATCH(C374,'Produtos'!$A$5:$A$204,0))+SUMIFS($F$5:$F$1004,$C$5:$C$1004,C374,$E$5:$E$1004,"Entrada",$A$5:$A$1004,"&lt;="&amp;A374)-SUMIFS($F$5:$F$1004,$C$5:$C$1004,C374,$E$5:$E$1004,"Saída",$A$5:$A$1004,"&lt;="&amp;A374),""))</f>
        <v/>
      </c>
      <c r="J374" s="68">
        <f>IF(A374="","",A374+ROW()/100000)</f>
        <v/>
      </c>
    </row>
    <row r="375">
      <c r="A375" s="65" t="n"/>
      <c r="B375" s="58" t="n"/>
      <c r="C375" s="58" t="n"/>
      <c r="D375" s="66">
        <f>IF(C375="","",IFERROR(INDEX('Produtos'!$B$5:$B$204,MATCH(C375,'Produtos'!$A$5:$A$204,0)),"Código não cadastrado"))</f>
        <v/>
      </c>
      <c r="E375" s="58" t="n"/>
      <c r="F375" s="61" t="n"/>
      <c r="G375" s="59" t="n"/>
      <c r="H375" s="59" t="n"/>
      <c r="I375" s="67">
        <f>IF(OR(A375="",C375=""),"",IFERROR(INDEX('Produtos'!$F$5:$F$204,MATCH(C375,'Produtos'!$A$5:$A$204,0))+SUMIFS($F$5:$F$1004,$C$5:$C$1004,C375,$E$5:$E$1004,"Entrada",$A$5:$A$1004,"&lt;="&amp;A375)-SUMIFS($F$5:$F$1004,$C$5:$C$1004,C375,$E$5:$E$1004,"Saída",$A$5:$A$1004,"&lt;="&amp;A375),""))</f>
        <v/>
      </c>
      <c r="J375" s="68">
        <f>IF(A375="","",A375+ROW()/100000)</f>
        <v/>
      </c>
    </row>
    <row r="376">
      <c r="A376" s="65" t="n"/>
      <c r="B376" s="58" t="n"/>
      <c r="C376" s="58" t="n"/>
      <c r="D376" s="66">
        <f>IF(C376="","",IFERROR(INDEX('Produtos'!$B$5:$B$204,MATCH(C376,'Produtos'!$A$5:$A$204,0)),"Código não cadastrado"))</f>
        <v/>
      </c>
      <c r="E376" s="58" t="n"/>
      <c r="F376" s="61" t="n"/>
      <c r="G376" s="59" t="n"/>
      <c r="H376" s="59" t="n"/>
      <c r="I376" s="67">
        <f>IF(OR(A376="",C376=""),"",IFERROR(INDEX('Produtos'!$F$5:$F$204,MATCH(C376,'Produtos'!$A$5:$A$204,0))+SUMIFS($F$5:$F$1004,$C$5:$C$1004,C376,$E$5:$E$1004,"Entrada",$A$5:$A$1004,"&lt;="&amp;A376)-SUMIFS($F$5:$F$1004,$C$5:$C$1004,C376,$E$5:$E$1004,"Saída",$A$5:$A$1004,"&lt;="&amp;A376),""))</f>
        <v/>
      </c>
      <c r="J376" s="68">
        <f>IF(A376="","",A376+ROW()/100000)</f>
        <v/>
      </c>
    </row>
    <row r="377">
      <c r="A377" s="65" t="n"/>
      <c r="B377" s="58" t="n"/>
      <c r="C377" s="58" t="n"/>
      <c r="D377" s="66">
        <f>IF(C377="","",IFERROR(INDEX('Produtos'!$B$5:$B$204,MATCH(C377,'Produtos'!$A$5:$A$204,0)),"Código não cadastrado"))</f>
        <v/>
      </c>
      <c r="E377" s="58" t="n"/>
      <c r="F377" s="61" t="n"/>
      <c r="G377" s="59" t="n"/>
      <c r="H377" s="59" t="n"/>
      <c r="I377" s="67">
        <f>IF(OR(A377="",C377=""),"",IFERROR(INDEX('Produtos'!$F$5:$F$204,MATCH(C377,'Produtos'!$A$5:$A$204,0))+SUMIFS($F$5:$F$1004,$C$5:$C$1004,C377,$E$5:$E$1004,"Entrada",$A$5:$A$1004,"&lt;="&amp;A377)-SUMIFS($F$5:$F$1004,$C$5:$C$1004,C377,$E$5:$E$1004,"Saída",$A$5:$A$1004,"&lt;="&amp;A377),""))</f>
        <v/>
      </c>
      <c r="J377" s="68">
        <f>IF(A377="","",A377+ROW()/100000)</f>
        <v/>
      </c>
    </row>
    <row r="378">
      <c r="A378" s="65" t="n"/>
      <c r="B378" s="58" t="n"/>
      <c r="C378" s="58" t="n"/>
      <c r="D378" s="66">
        <f>IF(C378="","",IFERROR(INDEX('Produtos'!$B$5:$B$204,MATCH(C378,'Produtos'!$A$5:$A$204,0)),"Código não cadastrado"))</f>
        <v/>
      </c>
      <c r="E378" s="58" t="n"/>
      <c r="F378" s="61" t="n"/>
      <c r="G378" s="59" t="n"/>
      <c r="H378" s="59" t="n"/>
      <c r="I378" s="67">
        <f>IF(OR(A378="",C378=""),"",IFERROR(INDEX('Produtos'!$F$5:$F$204,MATCH(C378,'Produtos'!$A$5:$A$204,0))+SUMIFS($F$5:$F$1004,$C$5:$C$1004,C378,$E$5:$E$1004,"Entrada",$A$5:$A$1004,"&lt;="&amp;A378)-SUMIFS($F$5:$F$1004,$C$5:$C$1004,C378,$E$5:$E$1004,"Saída",$A$5:$A$1004,"&lt;="&amp;A378),""))</f>
        <v/>
      </c>
      <c r="J378" s="68">
        <f>IF(A378="","",A378+ROW()/100000)</f>
        <v/>
      </c>
    </row>
    <row r="379">
      <c r="A379" s="65" t="n"/>
      <c r="B379" s="58" t="n"/>
      <c r="C379" s="58" t="n"/>
      <c r="D379" s="66">
        <f>IF(C379="","",IFERROR(INDEX('Produtos'!$B$5:$B$204,MATCH(C379,'Produtos'!$A$5:$A$204,0)),"Código não cadastrado"))</f>
        <v/>
      </c>
      <c r="E379" s="58" t="n"/>
      <c r="F379" s="61" t="n"/>
      <c r="G379" s="59" t="n"/>
      <c r="H379" s="59" t="n"/>
      <c r="I379" s="67">
        <f>IF(OR(A379="",C379=""),"",IFERROR(INDEX('Produtos'!$F$5:$F$204,MATCH(C379,'Produtos'!$A$5:$A$204,0))+SUMIFS($F$5:$F$1004,$C$5:$C$1004,C379,$E$5:$E$1004,"Entrada",$A$5:$A$1004,"&lt;="&amp;A379)-SUMIFS($F$5:$F$1004,$C$5:$C$1004,C379,$E$5:$E$1004,"Saída",$A$5:$A$1004,"&lt;="&amp;A379),""))</f>
        <v/>
      </c>
      <c r="J379" s="68">
        <f>IF(A379="","",A379+ROW()/100000)</f>
        <v/>
      </c>
    </row>
    <row r="380">
      <c r="A380" s="65" t="n"/>
      <c r="B380" s="58" t="n"/>
      <c r="C380" s="58" t="n"/>
      <c r="D380" s="66">
        <f>IF(C380="","",IFERROR(INDEX('Produtos'!$B$5:$B$204,MATCH(C380,'Produtos'!$A$5:$A$204,0)),"Código não cadastrado"))</f>
        <v/>
      </c>
      <c r="E380" s="58" t="n"/>
      <c r="F380" s="61" t="n"/>
      <c r="G380" s="59" t="n"/>
      <c r="H380" s="59" t="n"/>
      <c r="I380" s="67">
        <f>IF(OR(A380="",C380=""),"",IFERROR(INDEX('Produtos'!$F$5:$F$204,MATCH(C380,'Produtos'!$A$5:$A$204,0))+SUMIFS($F$5:$F$1004,$C$5:$C$1004,C380,$E$5:$E$1004,"Entrada",$A$5:$A$1004,"&lt;="&amp;A380)-SUMIFS($F$5:$F$1004,$C$5:$C$1004,C380,$E$5:$E$1004,"Saída",$A$5:$A$1004,"&lt;="&amp;A380),""))</f>
        <v/>
      </c>
      <c r="J380" s="68">
        <f>IF(A380="","",A380+ROW()/100000)</f>
        <v/>
      </c>
    </row>
    <row r="381">
      <c r="A381" s="65" t="n"/>
      <c r="B381" s="58" t="n"/>
      <c r="C381" s="58" t="n"/>
      <c r="D381" s="66">
        <f>IF(C381="","",IFERROR(INDEX('Produtos'!$B$5:$B$204,MATCH(C381,'Produtos'!$A$5:$A$204,0)),"Código não cadastrado"))</f>
        <v/>
      </c>
      <c r="E381" s="58" t="n"/>
      <c r="F381" s="61" t="n"/>
      <c r="G381" s="59" t="n"/>
      <c r="H381" s="59" t="n"/>
      <c r="I381" s="67">
        <f>IF(OR(A381="",C381=""),"",IFERROR(INDEX('Produtos'!$F$5:$F$204,MATCH(C381,'Produtos'!$A$5:$A$204,0))+SUMIFS($F$5:$F$1004,$C$5:$C$1004,C381,$E$5:$E$1004,"Entrada",$A$5:$A$1004,"&lt;="&amp;A381)-SUMIFS($F$5:$F$1004,$C$5:$C$1004,C381,$E$5:$E$1004,"Saída",$A$5:$A$1004,"&lt;="&amp;A381),""))</f>
        <v/>
      </c>
      <c r="J381" s="68">
        <f>IF(A381="","",A381+ROW()/100000)</f>
        <v/>
      </c>
    </row>
    <row r="382">
      <c r="A382" s="65" t="n"/>
      <c r="B382" s="58" t="n"/>
      <c r="C382" s="58" t="n"/>
      <c r="D382" s="66">
        <f>IF(C382="","",IFERROR(INDEX('Produtos'!$B$5:$B$204,MATCH(C382,'Produtos'!$A$5:$A$204,0)),"Código não cadastrado"))</f>
        <v/>
      </c>
      <c r="E382" s="58" t="n"/>
      <c r="F382" s="61" t="n"/>
      <c r="G382" s="59" t="n"/>
      <c r="H382" s="59" t="n"/>
      <c r="I382" s="67">
        <f>IF(OR(A382="",C382=""),"",IFERROR(INDEX('Produtos'!$F$5:$F$204,MATCH(C382,'Produtos'!$A$5:$A$204,0))+SUMIFS($F$5:$F$1004,$C$5:$C$1004,C382,$E$5:$E$1004,"Entrada",$A$5:$A$1004,"&lt;="&amp;A382)-SUMIFS($F$5:$F$1004,$C$5:$C$1004,C382,$E$5:$E$1004,"Saída",$A$5:$A$1004,"&lt;="&amp;A382),""))</f>
        <v/>
      </c>
      <c r="J382" s="68">
        <f>IF(A382="","",A382+ROW()/100000)</f>
        <v/>
      </c>
    </row>
    <row r="383">
      <c r="A383" s="65" t="n"/>
      <c r="B383" s="58" t="n"/>
      <c r="C383" s="58" t="n"/>
      <c r="D383" s="66">
        <f>IF(C383="","",IFERROR(INDEX('Produtos'!$B$5:$B$204,MATCH(C383,'Produtos'!$A$5:$A$204,0)),"Código não cadastrado"))</f>
        <v/>
      </c>
      <c r="E383" s="58" t="n"/>
      <c r="F383" s="61" t="n"/>
      <c r="G383" s="59" t="n"/>
      <c r="H383" s="59" t="n"/>
      <c r="I383" s="67">
        <f>IF(OR(A383="",C383=""),"",IFERROR(INDEX('Produtos'!$F$5:$F$204,MATCH(C383,'Produtos'!$A$5:$A$204,0))+SUMIFS($F$5:$F$1004,$C$5:$C$1004,C383,$E$5:$E$1004,"Entrada",$A$5:$A$1004,"&lt;="&amp;A383)-SUMIFS($F$5:$F$1004,$C$5:$C$1004,C383,$E$5:$E$1004,"Saída",$A$5:$A$1004,"&lt;="&amp;A383),""))</f>
        <v/>
      </c>
      <c r="J383" s="68">
        <f>IF(A383="","",A383+ROW()/100000)</f>
        <v/>
      </c>
    </row>
    <row r="384">
      <c r="A384" s="65" t="n"/>
      <c r="B384" s="58" t="n"/>
      <c r="C384" s="58" t="n"/>
      <c r="D384" s="66">
        <f>IF(C384="","",IFERROR(INDEX('Produtos'!$B$5:$B$204,MATCH(C384,'Produtos'!$A$5:$A$204,0)),"Código não cadastrado"))</f>
        <v/>
      </c>
      <c r="E384" s="58" t="n"/>
      <c r="F384" s="61" t="n"/>
      <c r="G384" s="59" t="n"/>
      <c r="H384" s="59" t="n"/>
      <c r="I384" s="67">
        <f>IF(OR(A384="",C384=""),"",IFERROR(INDEX('Produtos'!$F$5:$F$204,MATCH(C384,'Produtos'!$A$5:$A$204,0))+SUMIFS($F$5:$F$1004,$C$5:$C$1004,C384,$E$5:$E$1004,"Entrada",$A$5:$A$1004,"&lt;="&amp;A384)-SUMIFS($F$5:$F$1004,$C$5:$C$1004,C384,$E$5:$E$1004,"Saída",$A$5:$A$1004,"&lt;="&amp;A384),""))</f>
        <v/>
      </c>
      <c r="J384" s="68">
        <f>IF(A384="","",A384+ROW()/100000)</f>
        <v/>
      </c>
    </row>
    <row r="385">
      <c r="A385" s="65" t="n"/>
      <c r="B385" s="58" t="n"/>
      <c r="C385" s="58" t="n"/>
      <c r="D385" s="66">
        <f>IF(C385="","",IFERROR(INDEX('Produtos'!$B$5:$B$204,MATCH(C385,'Produtos'!$A$5:$A$204,0)),"Código não cadastrado"))</f>
        <v/>
      </c>
      <c r="E385" s="58" t="n"/>
      <c r="F385" s="61" t="n"/>
      <c r="G385" s="59" t="n"/>
      <c r="H385" s="59" t="n"/>
      <c r="I385" s="67">
        <f>IF(OR(A385="",C385=""),"",IFERROR(INDEX('Produtos'!$F$5:$F$204,MATCH(C385,'Produtos'!$A$5:$A$204,0))+SUMIFS($F$5:$F$1004,$C$5:$C$1004,C385,$E$5:$E$1004,"Entrada",$A$5:$A$1004,"&lt;="&amp;A385)-SUMIFS($F$5:$F$1004,$C$5:$C$1004,C385,$E$5:$E$1004,"Saída",$A$5:$A$1004,"&lt;="&amp;A385),""))</f>
        <v/>
      </c>
      <c r="J385" s="68">
        <f>IF(A385="","",A385+ROW()/100000)</f>
        <v/>
      </c>
    </row>
    <row r="386">
      <c r="A386" s="65" t="n"/>
      <c r="B386" s="58" t="n"/>
      <c r="C386" s="58" t="n"/>
      <c r="D386" s="66">
        <f>IF(C386="","",IFERROR(INDEX('Produtos'!$B$5:$B$204,MATCH(C386,'Produtos'!$A$5:$A$204,0)),"Código não cadastrado"))</f>
        <v/>
      </c>
      <c r="E386" s="58" t="n"/>
      <c r="F386" s="61" t="n"/>
      <c r="G386" s="59" t="n"/>
      <c r="H386" s="59" t="n"/>
      <c r="I386" s="67">
        <f>IF(OR(A386="",C386=""),"",IFERROR(INDEX('Produtos'!$F$5:$F$204,MATCH(C386,'Produtos'!$A$5:$A$204,0))+SUMIFS($F$5:$F$1004,$C$5:$C$1004,C386,$E$5:$E$1004,"Entrada",$A$5:$A$1004,"&lt;="&amp;A386)-SUMIFS($F$5:$F$1004,$C$5:$C$1004,C386,$E$5:$E$1004,"Saída",$A$5:$A$1004,"&lt;="&amp;A386),""))</f>
        <v/>
      </c>
      <c r="J386" s="68">
        <f>IF(A386="","",A386+ROW()/100000)</f>
        <v/>
      </c>
    </row>
    <row r="387">
      <c r="A387" s="65" t="n"/>
      <c r="B387" s="58" t="n"/>
      <c r="C387" s="58" t="n"/>
      <c r="D387" s="66">
        <f>IF(C387="","",IFERROR(INDEX('Produtos'!$B$5:$B$204,MATCH(C387,'Produtos'!$A$5:$A$204,0)),"Código não cadastrado"))</f>
        <v/>
      </c>
      <c r="E387" s="58" t="n"/>
      <c r="F387" s="61" t="n"/>
      <c r="G387" s="59" t="n"/>
      <c r="H387" s="59" t="n"/>
      <c r="I387" s="67">
        <f>IF(OR(A387="",C387=""),"",IFERROR(INDEX('Produtos'!$F$5:$F$204,MATCH(C387,'Produtos'!$A$5:$A$204,0))+SUMIFS($F$5:$F$1004,$C$5:$C$1004,C387,$E$5:$E$1004,"Entrada",$A$5:$A$1004,"&lt;="&amp;A387)-SUMIFS($F$5:$F$1004,$C$5:$C$1004,C387,$E$5:$E$1004,"Saída",$A$5:$A$1004,"&lt;="&amp;A387),""))</f>
        <v/>
      </c>
      <c r="J387" s="68">
        <f>IF(A387="","",A387+ROW()/100000)</f>
        <v/>
      </c>
    </row>
    <row r="388">
      <c r="A388" s="65" t="n"/>
      <c r="B388" s="58" t="n"/>
      <c r="C388" s="58" t="n"/>
      <c r="D388" s="66">
        <f>IF(C388="","",IFERROR(INDEX('Produtos'!$B$5:$B$204,MATCH(C388,'Produtos'!$A$5:$A$204,0)),"Código não cadastrado"))</f>
        <v/>
      </c>
      <c r="E388" s="58" t="n"/>
      <c r="F388" s="61" t="n"/>
      <c r="G388" s="59" t="n"/>
      <c r="H388" s="59" t="n"/>
      <c r="I388" s="67">
        <f>IF(OR(A388="",C388=""),"",IFERROR(INDEX('Produtos'!$F$5:$F$204,MATCH(C388,'Produtos'!$A$5:$A$204,0))+SUMIFS($F$5:$F$1004,$C$5:$C$1004,C388,$E$5:$E$1004,"Entrada",$A$5:$A$1004,"&lt;="&amp;A388)-SUMIFS($F$5:$F$1004,$C$5:$C$1004,C388,$E$5:$E$1004,"Saída",$A$5:$A$1004,"&lt;="&amp;A388),""))</f>
        <v/>
      </c>
      <c r="J388" s="68">
        <f>IF(A388="","",A388+ROW()/100000)</f>
        <v/>
      </c>
    </row>
    <row r="389">
      <c r="A389" s="65" t="n"/>
      <c r="B389" s="58" t="n"/>
      <c r="C389" s="58" t="n"/>
      <c r="D389" s="66">
        <f>IF(C389="","",IFERROR(INDEX('Produtos'!$B$5:$B$204,MATCH(C389,'Produtos'!$A$5:$A$204,0)),"Código não cadastrado"))</f>
        <v/>
      </c>
      <c r="E389" s="58" t="n"/>
      <c r="F389" s="61" t="n"/>
      <c r="G389" s="59" t="n"/>
      <c r="H389" s="59" t="n"/>
      <c r="I389" s="67">
        <f>IF(OR(A389="",C389=""),"",IFERROR(INDEX('Produtos'!$F$5:$F$204,MATCH(C389,'Produtos'!$A$5:$A$204,0))+SUMIFS($F$5:$F$1004,$C$5:$C$1004,C389,$E$5:$E$1004,"Entrada",$A$5:$A$1004,"&lt;="&amp;A389)-SUMIFS($F$5:$F$1004,$C$5:$C$1004,C389,$E$5:$E$1004,"Saída",$A$5:$A$1004,"&lt;="&amp;A389),""))</f>
        <v/>
      </c>
      <c r="J389" s="68">
        <f>IF(A389="","",A389+ROW()/100000)</f>
        <v/>
      </c>
    </row>
    <row r="390">
      <c r="A390" s="65" t="n"/>
      <c r="B390" s="58" t="n"/>
      <c r="C390" s="58" t="n"/>
      <c r="D390" s="66">
        <f>IF(C390="","",IFERROR(INDEX('Produtos'!$B$5:$B$204,MATCH(C390,'Produtos'!$A$5:$A$204,0)),"Código não cadastrado"))</f>
        <v/>
      </c>
      <c r="E390" s="58" t="n"/>
      <c r="F390" s="61" t="n"/>
      <c r="G390" s="59" t="n"/>
      <c r="H390" s="59" t="n"/>
      <c r="I390" s="67">
        <f>IF(OR(A390="",C390=""),"",IFERROR(INDEX('Produtos'!$F$5:$F$204,MATCH(C390,'Produtos'!$A$5:$A$204,0))+SUMIFS($F$5:$F$1004,$C$5:$C$1004,C390,$E$5:$E$1004,"Entrada",$A$5:$A$1004,"&lt;="&amp;A390)-SUMIFS($F$5:$F$1004,$C$5:$C$1004,C390,$E$5:$E$1004,"Saída",$A$5:$A$1004,"&lt;="&amp;A390),""))</f>
        <v/>
      </c>
      <c r="J390" s="68">
        <f>IF(A390="","",A390+ROW()/100000)</f>
        <v/>
      </c>
    </row>
    <row r="391">
      <c r="A391" s="65" t="n"/>
      <c r="B391" s="58" t="n"/>
      <c r="C391" s="58" t="n"/>
      <c r="D391" s="66">
        <f>IF(C391="","",IFERROR(INDEX('Produtos'!$B$5:$B$204,MATCH(C391,'Produtos'!$A$5:$A$204,0)),"Código não cadastrado"))</f>
        <v/>
      </c>
      <c r="E391" s="58" t="n"/>
      <c r="F391" s="61" t="n"/>
      <c r="G391" s="59" t="n"/>
      <c r="H391" s="59" t="n"/>
      <c r="I391" s="67">
        <f>IF(OR(A391="",C391=""),"",IFERROR(INDEX('Produtos'!$F$5:$F$204,MATCH(C391,'Produtos'!$A$5:$A$204,0))+SUMIFS($F$5:$F$1004,$C$5:$C$1004,C391,$E$5:$E$1004,"Entrada",$A$5:$A$1004,"&lt;="&amp;A391)-SUMIFS($F$5:$F$1004,$C$5:$C$1004,C391,$E$5:$E$1004,"Saída",$A$5:$A$1004,"&lt;="&amp;A391),""))</f>
        <v/>
      </c>
      <c r="J391" s="68">
        <f>IF(A391="","",A391+ROW()/100000)</f>
        <v/>
      </c>
    </row>
    <row r="392">
      <c r="A392" s="65" t="n"/>
      <c r="B392" s="58" t="n"/>
      <c r="C392" s="58" t="n"/>
      <c r="D392" s="66">
        <f>IF(C392="","",IFERROR(INDEX('Produtos'!$B$5:$B$204,MATCH(C392,'Produtos'!$A$5:$A$204,0)),"Código não cadastrado"))</f>
        <v/>
      </c>
      <c r="E392" s="58" t="n"/>
      <c r="F392" s="61" t="n"/>
      <c r="G392" s="59" t="n"/>
      <c r="H392" s="59" t="n"/>
      <c r="I392" s="67">
        <f>IF(OR(A392="",C392=""),"",IFERROR(INDEX('Produtos'!$F$5:$F$204,MATCH(C392,'Produtos'!$A$5:$A$204,0))+SUMIFS($F$5:$F$1004,$C$5:$C$1004,C392,$E$5:$E$1004,"Entrada",$A$5:$A$1004,"&lt;="&amp;A392)-SUMIFS($F$5:$F$1004,$C$5:$C$1004,C392,$E$5:$E$1004,"Saída",$A$5:$A$1004,"&lt;="&amp;A392),""))</f>
        <v/>
      </c>
      <c r="J392" s="68">
        <f>IF(A392="","",A392+ROW()/100000)</f>
        <v/>
      </c>
    </row>
    <row r="393">
      <c r="A393" s="65" t="n"/>
      <c r="B393" s="58" t="n"/>
      <c r="C393" s="58" t="n"/>
      <c r="D393" s="66">
        <f>IF(C393="","",IFERROR(INDEX('Produtos'!$B$5:$B$204,MATCH(C393,'Produtos'!$A$5:$A$204,0)),"Código não cadastrado"))</f>
        <v/>
      </c>
      <c r="E393" s="58" t="n"/>
      <c r="F393" s="61" t="n"/>
      <c r="G393" s="59" t="n"/>
      <c r="H393" s="59" t="n"/>
      <c r="I393" s="67">
        <f>IF(OR(A393="",C393=""),"",IFERROR(INDEX('Produtos'!$F$5:$F$204,MATCH(C393,'Produtos'!$A$5:$A$204,0))+SUMIFS($F$5:$F$1004,$C$5:$C$1004,C393,$E$5:$E$1004,"Entrada",$A$5:$A$1004,"&lt;="&amp;A393)-SUMIFS($F$5:$F$1004,$C$5:$C$1004,C393,$E$5:$E$1004,"Saída",$A$5:$A$1004,"&lt;="&amp;A393),""))</f>
        <v/>
      </c>
      <c r="J393" s="68">
        <f>IF(A393="","",A393+ROW()/100000)</f>
        <v/>
      </c>
    </row>
    <row r="394">
      <c r="A394" s="65" t="n"/>
      <c r="B394" s="58" t="n"/>
      <c r="C394" s="58" t="n"/>
      <c r="D394" s="66">
        <f>IF(C394="","",IFERROR(INDEX('Produtos'!$B$5:$B$204,MATCH(C394,'Produtos'!$A$5:$A$204,0)),"Código não cadastrado"))</f>
        <v/>
      </c>
      <c r="E394" s="58" t="n"/>
      <c r="F394" s="61" t="n"/>
      <c r="G394" s="59" t="n"/>
      <c r="H394" s="59" t="n"/>
      <c r="I394" s="67">
        <f>IF(OR(A394="",C394=""),"",IFERROR(INDEX('Produtos'!$F$5:$F$204,MATCH(C394,'Produtos'!$A$5:$A$204,0))+SUMIFS($F$5:$F$1004,$C$5:$C$1004,C394,$E$5:$E$1004,"Entrada",$A$5:$A$1004,"&lt;="&amp;A394)-SUMIFS($F$5:$F$1004,$C$5:$C$1004,C394,$E$5:$E$1004,"Saída",$A$5:$A$1004,"&lt;="&amp;A394),""))</f>
        <v/>
      </c>
      <c r="J394" s="68">
        <f>IF(A394="","",A394+ROW()/100000)</f>
        <v/>
      </c>
    </row>
    <row r="395">
      <c r="A395" s="65" t="n"/>
      <c r="B395" s="58" t="n"/>
      <c r="C395" s="58" t="n"/>
      <c r="D395" s="66">
        <f>IF(C395="","",IFERROR(INDEX('Produtos'!$B$5:$B$204,MATCH(C395,'Produtos'!$A$5:$A$204,0)),"Código não cadastrado"))</f>
        <v/>
      </c>
      <c r="E395" s="58" t="n"/>
      <c r="F395" s="61" t="n"/>
      <c r="G395" s="59" t="n"/>
      <c r="H395" s="59" t="n"/>
      <c r="I395" s="67">
        <f>IF(OR(A395="",C395=""),"",IFERROR(INDEX('Produtos'!$F$5:$F$204,MATCH(C395,'Produtos'!$A$5:$A$204,0))+SUMIFS($F$5:$F$1004,$C$5:$C$1004,C395,$E$5:$E$1004,"Entrada",$A$5:$A$1004,"&lt;="&amp;A395)-SUMIFS($F$5:$F$1004,$C$5:$C$1004,C395,$E$5:$E$1004,"Saída",$A$5:$A$1004,"&lt;="&amp;A395),""))</f>
        <v/>
      </c>
      <c r="J395" s="68">
        <f>IF(A395="","",A395+ROW()/100000)</f>
        <v/>
      </c>
    </row>
    <row r="396">
      <c r="A396" s="65" t="n"/>
      <c r="B396" s="58" t="n"/>
      <c r="C396" s="58" t="n"/>
      <c r="D396" s="66">
        <f>IF(C396="","",IFERROR(INDEX('Produtos'!$B$5:$B$204,MATCH(C396,'Produtos'!$A$5:$A$204,0)),"Código não cadastrado"))</f>
        <v/>
      </c>
      <c r="E396" s="58" t="n"/>
      <c r="F396" s="61" t="n"/>
      <c r="G396" s="59" t="n"/>
      <c r="H396" s="59" t="n"/>
      <c r="I396" s="67">
        <f>IF(OR(A396="",C396=""),"",IFERROR(INDEX('Produtos'!$F$5:$F$204,MATCH(C396,'Produtos'!$A$5:$A$204,0))+SUMIFS($F$5:$F$1004,$C$5:$C$1004,C396,$E$5:$E$1004,"Entrada",$A$5:$A$1004,"&lt;="&amp;A396)-SUMIFS($F$5:$F$1004,$C$5:$C$1004,C396,$E$5:$E$1004,"Saída",$A$5:$A$1004,"&lt;="&amp;A396),""))</f>
        <v/>
      </c>
      <c r="J396" s="68">
        <f>IF(A396="","",A396+ROW()/100000)</f>
        <v/>
      </c>
    </row>
    <row r="397">
      <c r="A397" s="65" t="n"/>
      <c r="B397" s="58" t="n"/>
      <c r="C397" s="58" t="n"/>
      <c r="D397" s="66">
        <f>IF(C397="","",IFERROR(INDEX('Produtos'!$B$5:$B$204,MATCH(C397,'Produtos'!$A$5:$A$204,0)),"Código não cadastrado"))</f>
        <v/>
      </c>
      <c r="E397" s="58" t="n"/>
      <c r="F397" s="61" t="n"/>
      <c r="G397" s="59" t="n"/>
      <c r="H397" s="59" t="n"/>
      <c r="I397" s="67">
        <f>IF(OR(A397="",C397=""),"",IFERROR(INDEX('Produtos'!$F$5:$F$204,MATCH(C397,'Produtos'!$A$5:$A$204,0))+SUMIFS($F$5:$F$1004,$C$5:$C$1004,C397,$E$5:$E$1004,"Entrada",$A$5:$A$1004,"&lt;="&amp;A397)-SUMIFS($F$5:$F$1004,$C$5:$C$1004,C397,$E$5:$E$1004,"Saída",$A$5:$A$1004,"&lt;="&amp;A397),""))</f>
        <v/>
      </c>
      <c r="J397" s="68">
        <f>IF(A397="","",A397+ROW()/100000)</f>
        <v/>
      </c>
    </row>
    <row r="398">
      <c r="A398" s="65" t="n"/>
      <c r="B398" s="58" t="n"/>
      <c r="C398" s="58" t="n"/>
      <c r="D398" s="66">
        <f>IF(C398="","",IFERROR(INDEX('Produtos'!$B$5:$B$204,MATCH(C398,'Produtos'!$A$5:$A$204,0)),"Código não cadastrado"))</f>
        <v/>
      </c>
      <c r="E398" s="58" t="n"/>
      <c r="F398" s="61" t="n"/>
      <c r="G398" s="59" t="n"/>
      <c r="H398" s="59" t="n"/>
      <c r="I398" s="67">
        <f>IF(OR(A398="",C398=""),"",IFERROR(INDEX('Produtos'!$F$5:$F$204,MATCH(C398,'Produtos'!$A$5:$A$204,0))+SUMIFS($F$5:$F$1004,$C$5:$C$1004,C398,$E$5:$E$1004,"Entrada",$A$5:$A$1004,"&lt;="&amp;A398)-SUMIFS($F$5:$F$1004,$C$5:$C$1004,C398,$E$5:$E$1004,"Saída",$A$5:$A$1004,"&lt;="&amp;A398),""))</f>
        <v/>
      </c>
      <c r="J398" s="68">
        <f>IF(A398="","",A398+ROW()/100000)</f>
        <v/>
      </c>
    </row>
    <row r="399">
      <c r="A399" s="65" t="n"/>
      <c r="B399" s="58" t="n"/>
      <c r="C399" s="58" t="n"/>
      <c r="D399" s="66">
        <f>IF(C399="","",IFERROR(INDEX('Produtos'!$B$5:$B$204,MATCH(C399,'Produtos'!$A$5:$A$204,0)),"Código não cadastrado"))</f>
        <v/>
      </c>
      <c r="E399" s="58" t="n"/>
      <c r="F399" s="61" t="n"/>
      <c r="G399" s="59" t="n"/>
      <c r="H399" s="59" t="n"/>
      <c r="I399" s="67">
        <f>IF(OR(A399="",C399=""),"",IFERROR(INDEX('Produtos'!$F$5:$F$204,MATCH(C399,'Produtos'!$A$5:$A$204,0))+SUMIFS($F$5:$F$1004,$C$5:$C$1004,C399,$E$5:$E$1004,"Entrada",$A$5:$A$1004,"&lt;="&amp;A399)-SUMIFS($F$5:$F$1004,$C$5:$C$1004,C399,$E$5:$E$1004,"Saída",$A$5:$A$1004,"&lt;="&amp;A399),""))</f>
        <v/>
      </c>
      <c r="J399" s="68">
        <f>IF(A399="","",A399+ROW()/100000)</f>
        <v/>
      </c>
    </row>
    <row r="400">
      <c r="A400" s="65" t="n"/>
      <c r="B400" s="58" t="n"/>
      <c r="C400" s="58" t="n"/>
      <c r="D400" s="66">
        <f>IF(C400="","",IFERROR(INDEX('Produtos'!$B$5:$B$204,MATCH(C400,'Produtos'!$A$5:$A$204,0)),"Código não cadastrado"))</f>
        <v/>
      </c>
      <c r="E400" s="58" t="n"/>
      <c r="F400" s="61" t="n"/>
      <c r="G400" s="59" t="n"/>
      <c r="H400" s="59" t="n"/>
      <c r="I400" s="67">
        <f>IF(OR(A400="",C400=""),"",IFERROR(INDEX('Produtos'!$F$5:$F$204,MATCH(C400,'Produtos'!$A$5:$A$204,0))+SUMIFS($F$5:$F$1004,$C$5:$C$1004,C400,$E$5:$E$1004,"Entrada",$A$5:$A$1004,"&lt;="&amp;A400)-SUMIFS($F$5:$F$1004,$C$5:$C$1004,C400,$E$5:$E$1004,"Saída",$A$5:$A$1004,"&lt;="&amp;A400),""))</f>
        <v/>
      </c>
      <c r="J400" s="68">
        <f>IF(A400="","",A400+ROW()/100000)</f>
        <v/>
      </c>
    </row>
    <row r="401">
      <c r="A401" s="65" t="n"/>
      <c r="B401" s="58" t="n"/>
      <c r="C401" s="58" t="n"/>
      <c r="D401" s="66">
        <f>IF(C401="","",IFERROR(INDEX('Produtos'!$B$5:$B$204,MATCH(C401,'Produtos'!$A$5:$A$204,0)),"Código não cadastrado"))</f>
        <v/>
      </c>
      <c r="E401" s="58" t="n"/>
      <c r="F401" s="61" t="n"/>
      <c r="G401" s="59" t="n"/>
      <c r="H401" s="59" t="n"/>
      <c r="I401" s="67">
        <f>IF(OR(A401="",C401=""),"",IFERROR(INDEX('Produtos'!$F$5:$F$204,MATCH(C401,'Produtos'!$A$5:$A$204,0))+SUMIFS($F$5:$F$1004,$C$5:$C$1004,C401,$E$5:$E$1004,"Entrada",$A$5:$A$1004,"&lt;="&amp;A401)-SUMIFS($F$5:$F$1004,$C$5:$C$1004,C401,$E$5:$E$1004,"Saída",$A$5:$A$1004,"&lt;="&amp;A401),""))</f>
        <v/>
      </c>
      <c r="J401" s="68">
        <f>IF(A401="","",A401+ROW()/100000)</f>
        <v/>
      </c>
    </row>
    <row r="402">
      <c r="A402" s="65" t="n"/>
      <c r="B402" s="58" t="n"/>
      <c r="C402" s="58" t="n"/>
      <c r="D402" s="66">
        <f>IF(C402="","",IFERROR(INDEX('Produtos'!$B$5:$B$204,MATCH(C402,'Produtos'!$A$5:$A$204,0)),"Código não cadastrado"))</f>
        <v/>
      </c>
      <c r="E402" s="58" t="n"/>
      <c r="F402" s="61" t="n"/>
      <c r="G402" s="59" t="n"/>
      <c r="H402" s="59" t="n"/>
      <c r="I402" s="67">
        <f>IF(OR(A402="",C402=""),"",IFERROR(INDEX('Produtos'!$F$5:$F$204,MATCH(C402,'Produtos'!$A$5:$A$204,0))+SUMIFS($F$5:$F$1004,$C$5:$C$1004,C402,$E$5:$E$1004,"Entrada",$A$5:$A$1004,"&lt;="&amp;A402)-SUMIFS($F$5:$F$1004,$C$5:$C$1004,C402,$E$5:$E$1004,"Saída",$A$5:$A$1004,"&lt;="&amp;A402),""))</f>
        <v/>
      </c>
      <c r="J402" s="68">
        <f>IF(A402="","",A402+ROW()/100000)</f>
        <v/>
      </c>
    </row>
    <row r="403">
      <c r="A403" s="65" t="n"/>
      <c r="B403" s="58" t="n"/>
      <c r="C403" s="58" t="n"/>
      <c r="D403" s="66">
        <f>IF(C403="","",IFERROR(INDEX('Produtos'!$B$5:$B$204,MATCH(C403,'Produtos'!$A$5:$A$204,0)),"Código não cadastrado"))</f>
        <v/>
      </c>
      <c r="E403" s="58" t="n"/>
      <c r="F403" s="61" t="n"/>
      <c r="G403" s="59" t="n"/>
      <c r="H403" s="59" t="n"/>
      <c r="I403" s="67">
        <f>IF(OR(A403="",C403=""),"",IFERROR(INDEX('Produtos'!$F$5:$F$204,MATCH(C403,'Produtos'!$A$5:$A$204,0))+SUMIFS($F$5:$F$1004,$C$5:$C$1004,C403,$E$5:$E$1004,"Entrada",$A$5:$A$1004,"&lt;="&amp;A403)-SUMIFS($F$5:$F$1004,$C$5:$C$1004,C403,$E$5:$E$1004,"Saída",$A$5:$A$1004,"&lt;="&amp;A403),""))</f>
        <v/>
      </c>
      <c r="J403" s="68">
        <f>IF(A403="","",A403+ROW()/100000)</f>
        <v/>
      </c>
    </row>
    <row r="404">
      <c r="A404" s="65" t="n"/>
      <c r="B404" s="58" t="n"/>
      <c r="C404" s="58" t="n"/>
      <c r="D404" s="66">
        <f>IF(C404="","",IFERROR(INDEX('Produtos'!$B$5:$B$204,MATCH(C404,'Produtos'!$A$5:$A$204,0)),"Código não cadastrado"))</f>
        <v/>
      </c>
      <c r="E404" s="58" t="n"/>
      <c r="F404" s="61" t="n"/>
      <c r="G404" s="59" t="n"/>
      <c r="H404" s="59" t="n"/>
      <c r="I404" s="67">
        <f>IF(OR(A404="",C404=""),"",IFERROR(INDEX('Produtos'!$F$5:$F$204,MATCH(C404,'Produtos'!$A$5:$A$204,0))+SUMIFS($F$5:$F$1004,$C$5:$C$1004,C404,$E$5:$E$1004,"Entrada",$A$5:$A$1004,"&lt;="&amp;A404)-SUMIFS($F$5:$F$1004,$C$5:$C$1004,C404,$E$5:$E$1004,"Saída",$A$5:$A$1004,"&lt;="&amp;A404),""))</f>
        <v/>
      </c>
      <c r="J404" s="68">
        <f>IF(A404="","",A404+ROW()/100000)</f>
        <v/>
      </c>
    </row>
    <row r="405">
      <c r="A405" s="65" t="n"/>
      <c r="B405" s="58" t="n"/>
      <c r="C405" s="58" t="n"/>
      <c r="D405" s="66">
        <f>IF(C405="","",IFERROR(INDEX('Produtos'!$B$5:$B$204,MATCH(C405,'Produtos'!$A$5:$A$204,0)),"Código não cadastrado"))</f>
        <v/>
      </c>
      <c r="E405" s="58" t="n"/>
      <c r="F405" s="61" t="n"/>
      <c r="G405" s="59" t="n"/>
      <c r="H405" s="59" t="n"/>
      <c r="I405" s="67">
        <f>IF(OR(A405="",C405=""),"",IFERROR(INDEX('Produtos'!$F$5:$F$204,MATCH(C405,'Produtos'!$A$5:$A$204,0))+SUMIFS($F$5:$F$1004,$C$5:$C$1004,C405,$E$5:$E$1004,"Entrada",$A$5:$A$1004,"&lt;="&amp;A405)-SUMIFS($F$5:$F$1004,$C$5:$C$1004,C405,$E$5:$E$1004,"Saída",$A$5:$A$1004,"&lt;="&amp;A405),""))</f>
        <v/>
      </c>
      <c r="J405" s="68">
        <f>IF(A405="","",A405+ROW()/100000)</f>
        <v/>
      </c>
    </row>
    <row r="406">
      <c r="A406" s="65" t="n"/>
      <c r="B406" s="58" t="n"/>
      <c r="C406" s="58" t="n"/>
      <c r="D406" s="66">
        <f>IF(C406="","",IFERROR(INDEX('Produtos'!$B$5:$B$204,MATCH(C406,'Produtos'!$A$5:$A$204,0)),"Código não cadastrado"))</f>
        <v/>
      </c>
      <c r="E406" s="58" t="n"/>
      <c r="F406" s="61" t="n"/>
      <c r="G406" s="59" t="n"/>
      <c r="H406" s="59" t="n"/>
      <c r="I406" s="67">
        <f>IF(OR(A406="",C406=""),"",IFERROR(INDEX('Produtos'!$F$5:$F$204,MATCH(C406,'Produtos'!$A$5:$A$204,0))+SUMIFS($F$5:$F$1004,$C$5:$C$1004,C406,$E$5:$E$1004,"Entrada",$A$5:$A$1004,"&lt;="&amp;A406)-SUMIFS($F$5:$F$1004,$C$5:$C$1004,C406,$E$5:$E$1004,"Saída",$A$5:$A$1004,"&lt;="&amp;A406),""))</f>
        <v/>
      </c>
      <c r="J406" s="68">
        <f>IF(A406="","",A406+ROW()/100000)</f>
        <v/>
      </c>
    </row>
    <row r="407">
      <c r="A407" s="65" t="n"/>
      <c r="B407" s="58" t="n"/>
      <c r="C407" s="58" t="n"/>
      <c r="D407" s="66">
        <f>IF(C407="","",IFERROR(INDEX('Produtos'!$B$5:$B$204,MATCH(C407,'Produtos'!$A$5:$A$204,0)),"Código não cadastrado"))</f>
        <v/>
      </c>
      <c r="E407" s="58" t="n"/>
      <c r="F407" s="61" t="n"/>
      <c r="G407" s="59" t="n"/>
      <c r="H407" s="59" t="n"/>
      <c r="I407" s="67">
        <f>IF(OR(A407="",C407=""),"",IFERROR(INDEX('Produtos'!$F$5:$F$204,MATCH(C407,'Produtos'!$A$5:$A$204,0))+SUMIFS($F$5:$F$1004,$C$5:$C$1004,C407,$E$5:$E$1004,"Entrada",$A$5:$A$1004,"&lt;="&amp;A407)-SUMIFS($F$5:$F$1004,$C$5:$C$1004,C407,$E$5:$E$1004,"Saída",$A$5:$A$1004,"&lt;="&amp;A407),""))</f>
        <v/>
      </c>
      <c r="J407" s="68">
        <f>IF(A407="","",A407+ROW()/100000)</f>
        <v/>
      </c>
    </row>
    <row r="408">
      <c r="A408" s="65" t="n"/>
      <c r="B408" s="58" t="n"/>
      <c r="C408" s="58" t="n"/>
      <c r="D408" s="66">
        <f>IF(C408="","",IFERROR(INDEX('Produtos'!$B$5:$B$204,MATCH(C408,'Produtos'!$A$5:$A$204,0)),"Código não cadastrado"))</f>
        <v/>
      </c>
      <c r="E408" s="58" t="n"/>
      <c r="F408" s="61" t="n"/>
      <c r="G408" s="59" t="n"/>
      <c r="H408" s="59" t="n"/>
      <c r="I408" s="67">
        <f>IF(OR(A408="",C408=""),"",IFERROR(INDEX('Produtos'!$F$5:$F$204,MATCH(C408,'Produtos'!$A$5:$A$204,0))+SUMIFS($F$5:$F$1004,$C$5:$C$1004,C408,$E$5:$E$1004,"Entrada",$A$5:$A$1004,"&lt;="&amp;A408)-SUMIFS($F$5:$F$1004,$C$5:$C$1004,C408,$E$5:$E$1004,"Saída",$A$5:$A$1004,"&lt;="&amp;A408),""))</f>
        <v/>
      </c>
      <c r="J408" s="68">
        <f>IF(A408="","",A408+ROW()/100000)</f>
        <v/>
      </c>
    </row>
    <row r="409">
      <c r="A409" s="65" t="n"/>
      <c r="B409" s="58" t="n"/>
      <c r="C409" s="58" t="n"/>
      <c r="D409" s="66">
        <f>IF(C409="","",IFERROR(INDEX('Produtos'!$B$5:$B$204,MATCH(C409,'Produtos'!$A$5:$A$204,0)),"Código não cadastrado"))</f>
        <v/>
      </c>
      <c r="E409" s="58" t="n"/>
      <c r="F409" s="61" t="n"/>
      <c r="G409" s="59" t="n"/>
      <c r="H409" s="59" t="n"/>
      <c r="I409" s="67">
        <f>IF(OR(A409="",C409=""),"",IFERROR(INDEX('Produtos'!$F$5:$F$204,MATCH(C409,'Produtos'!$A$5:$A$204,0))+SUMIFS($F$5:$F$1004,$C$5:$C$1004,C409,$E$5:$E$1004,"Entrada",$A$5:$A$1004,"&lt;="&amp;A409)-SUMIFS($F$5:$F$1004,$C$5:$C$1004,C409,$E$5:$E$1004,"Saída",$A$5:$A$1004,"&lt;="&amp;A409),""))</f>
        <v/>
      </c>
      <c r="J409" s="68">
        <f>IF(A409="","",A409+ROW()/100000)</f>
        <v/>
      </c>
    </row>
    <row r="410">
      <c r="A410" s="65" t="n"/>
      <c r="B410" s="58" t="n"/>
      <c r="C410" s="58" t="n"/>
      <c r="D410" s="66">
        <f>IF(C410="","",IFERROR(INDEX('Produtos'!$B$5:$B$204,MATCH(C410,'Produtos'!$A$5:$A$204,0)),"Código não cadastrado"))</f>
        <v/>
      </c>
      <c r="E410" s="58" t="n"/>
      <c r="F410" s="61" t="n"/>
      <c r="G410" s="59" t="n"/>
      <c r="H410" s="59" t="n"/>
      <c r="I410" s="67">
        <f>IF(OR(A410="",C410=""),"",IFERROR(INDEX('Produtos'!$F$5:$F$204,MATCH(C410,'Produtos'!$A$5:$A$204,0))+SUMIFS($F$5:$F$1004,$C$5:$C$1004,C410,$E$5:$E$1004,"Entrada",$A$5:$A$1004,"&lt;="&amp;A410)-SUMIFS($F$5:$F$1004,$C$5:$C$1004,C410,$E$5:$E$1004,"Saída",$A$5:$A$1004,"&lt;="&amp;A410),""))</f>
        <v/>
      </c>
      <c r="J410" s="68">
        <f>IF(A410="","",A410+ROW()/100000)</f>
        <v/>
      </c>
    </row>
    <row r="411">
      <c r="A411" s="65" t="n"/>
      <c r="B411" s="58" t="n"/>
      <c r="C411" s="58" t="n"/>
      <c r="D411" s="66">
        <f>IF(C411="","",IFERROR(INDEX('Produtos'!$B$5:$B$204,MATCH(C411,'Produtos'!$A$5:$A$204,0)),"Código não cadastrado"))</f>
        <v/>
      </c>
      <c r="E411" s="58" t="n"/>
      <c r="F411" s="61" t="n"/>
      <c r="G411" s="59" t="n"/>
      <c r="H411" s="59" t="n"/>
      <c r="I411" s="67">
        <f>IF(OR(A411="",C411=""),"",IFERROR(INDEX('Produtos'!$F$5:$F$204,MATCH(C411,'Produtos'!$A$5:$A$204,0))+SUMIFS($F$5:$F$1004,$C$5:$C$1004,C411,$E$5:$E$1004,"Entrada",$A$5:$A$1004,"&lt;="&amp;A411)-SUMIFS($F$5:$F$1004,$C$5:$C$1004,C411,$E$5:$E$1004,"Saída",$A$5:$A$1004,"&lt;="&amp;A411),""))</f>
        <v/>
      </c>
      <c r="J411" s="68">
        <f>IF(A411="","",A411+ROW()/100000)</f>
        <v/>
      </c>
    </row>
    <row r="412">
      <c r="A412" s="65" t="n"/>
      <c r="B412" s="58" t="n"/>
      <c r="C412" s="58" t="n"/>
      <c r="D412" s="66">
        <f>IF(C412="","",IFERROR(INDEX('Produtos'!$B$5:$B$204,MATCH(C412,'Produtos'!$A$5:$A$204,0)),"Código não cadastrado"))</f>
        <v/>
      </c>
      <c r="E412" s="58" t="n"/>
      <c r="F412" s="61" t="n"/>
      <c r="G412" s="59" t="n"/>
      <c r="H412" s="59" t="n"/>
      <c r="I412" s="67">
        <f>IF(OR(A412="",C412=""),"",IFERROR(INDEX('Produtos'!$F$5:$F$204,MATCH(C412,'Produtos'!$A$5:$A$204,0))+SUMIFS($F$5:$F$1004,$C$5:$C$1004,C412,$E$5:$E$1004,"Entrada",$A$5:$A$1004,"&lt;="&amp;A412)-SUMIFS($F$5:$F$1004,$C$5:$C$1004,C412,$E$5:$E$1004,"Saída",$A$5:$A$1004,"&lt;="&amp;A412),""))</f>
        <v/>
      </c>
      <c r="J412" s="68">
        <f>IF(A412="","",A412+ROW()/100000)</f>
        <v/>
      </c>
    </row>
    <row r="413">
      <c r="A413" s="65" t="n"/>
      <c r="B413" s="58" t="n"/>
      <c r="C413" s="58" t="n"/>
      <c r="D413" s="66">
        <f>IF(C413="","",IFERROR(INDEX('Produtos'!$B$5:$B$204,MATCH(C413,'Produtos'!$A$5:$A$204,0)),"Código não cadastrado"))</f>
        <v/>
      </c>
      <c r="E413" s="58" t="n"/>
      <c r="F413" s="61" t="n"/>
      <c r="G413" s="59" t="n"/>
      <c r="H413" s="59" t="n"/>
      <c r="I413" s="67">
        <f>IF(OR(A413="",C413=""),"",IFERROR(INDEX('Produtos'!$F$5:$F$204,MATCH(C413,'Produtos'!$A$5:$A$204,0))+SUMIFS($F$5:$F$1004,$C$5:$C$1004,C413,$E$5:$E$1004,"Entrada",$A$5:$A$1004,"&lt;="&amp;A413)-SUMIFS($F$5:$F$1004,$C$5:$C$1004,C413,$E$5:$E$1004,"Saída",$A$5:$A$1004,"&lt;="&amp;A413),""))</f>
        <v/>
      </c>
      <c r="J413" s="68">
        <f>IF(A413="","",A413+ROW()/100000)</f>
        <v/>
      </c>
    </row>
    <row r="414">
      <c r="A414" s="65" t="n"/>
      <c r="B414" s="58" t="n"/>
      <c r="C414" s="58" t="n"/>
      <c r="D414" s="66">
        <f>IF(C414="","",IFERROR(INDEX('Produtos'!$B$5:$B$204,MATCH(C414,'Produtos'!$A$5:$A$204,0)),"Código não cadastrado"))</f>
        <v/>
      </c>
      <c r="E414" s="58" t="n"/>
      <c r="F414" s="61" t="n"/>
      <c r="G414" s="59" t="n"/>
      <c r="H414" s="59" t="n"/>
      <c r="I414" s="67">
        <f>IF(OR(A414="",C414=""),"",IFERROR(INDEX('Produtos'!$F$5:$F$204,MATCH(C414,'Produtos'!$A$5:$A$204,0))+SUMIFS($F$5:$F$1004,$C$5:$C$1004,C414,$E$5:$E$1004,"Entrada",$A$5:$A$1004,"&lt;="&amp;A414)-SUMIFS($F$5:$F$1004,$C$5:$C$1004,C414,$E$5:$E$1004,"Saída",$A$5:$A$1004,"&lt;="&amp;A414),""))</f>
        <v/>
      </c>
      <c r="J414" s="68">
        <f>IF(A414="","",A414+ROW()/100000)</f>
        <v/>
      </c>
    </row>
    <row r="415">
      <c r="A415" s="65" t="n"/>
      <c r="B415" s="58" t="n"/>
      <c r="C415" s="58" t="n"/>
      <c r="D415" s="66">
        <f>IF(C415="","",IFERROR(INDEX('Produtos'!$B$5:$B$204,MATCH(C415,'Produtos'!$A$5:$A$204,0)),"Código não cadastrado"))</f>
        <v/>
      </c>
      <c r="E415" s="58" t="n"/>
      <c r="F415" s="61" t="n"/>
      <c r="G415" s="59" t="n"/>
      <c r="H415" s="59" t="n"/>
      <c r="I415" s="67">
        <f>IF(OR(A415="",C415=""),"",IFERROR(INDEX('Produtos'!$F$5:$F$204,MATCH(C415,'Produtos'!$A$5:$A$204,0))+SUMIFS($F$5:$F$1004,$C$5:$C$1004,C415,$E$5:$E$1004,"Entrada",$A$5:$A$1004,"&lt;="&amp;A415)-SUMIFS($F$5:$F$1004,$C$5:$C$1004,C415,$E$5:$E$1004,"Saída",$A$5:$A$1004,"&lt;="&amp;A415),""))</f>
        <v/>
      </c>
      <c r="J415" s="68">
        <f>IF(A415="","",A415+ROW()/100000)</f>
        <v/>
      </c>
    </row>
    <row r="416">
      <c r="A416" s="65" t="n"/>
      <c r="B416" s="58" t="n"/>
      <c r="C416" s="58" t="n"/>
      <c r="D416" s="66">
        <f>IF(C416="","",IFERROR(INDEX('Produtos'!$B$5:$B$204,MATCH(C416,'Produtos'!$A$5:$A$204,0)),"Código não cadastrado"))</f>
        <v/>
      </c>
      <c r="E416" s="58" t="n"/>
      <c r="F416" s="61" t="n"/>
      <c r="G416" s="59" t="n"/>
      <c r="H416" s="59" t="n"/>
      <c r="I416" s="67">
        <f>IF(OR(A416="",C416=""),"",IFERROR(INDEX('Produtos'!$F$5:$F$204,MATCH(C416,'Produtos'!$A$5:$A$204,0))+SUMIFS($F$5:$F$1004,$C$5:$C$1004,C416,$E$5:$E$1004,"Entrada",$A$5:$A$1004,"&lt;="&amp;A416)-SUMIFS($F$5:$F$1004,$C$5:$C$1004,C416,$E$5:$E$1004,"Saída",$A$5:$A$1004,"&lt;="&amp;A416),""))</f>
        <v/>
      </c>
      <c r="J416" s="68">
        <f>IF(A416="","",A416+ROW()/100000)</f>
        <v/>
      </c>
    </row>
    <row r="417">
      <c r="A417" s="65" t="n"/>
      <c r="B417" s="58" t="n"/>
      <c r="C417" s="58" t="n"/>
      <c r="D417" s="66">
        <f>IF(C417="","",IFERROR(INDEX('Produtos'!$B$5:$B$204,MATCH(C417,'Produtos'!$A$5:$A$204,0)),"Código não cadastrado"))</f>
        <v/>
      </c>
      <c r="E417" s="58" t="n"/>
      <c r="F417" s="61" t="n"/>
      <c r="G417" s="59" t="n"/>
      <c r="H417" s="59" t="n"/>
      <c r="I417" s="67">
        <f>IF(OR(A417="",C417=""),"",IFERROR(INDEX('Produtos'!$F$5:$F$204,MATCH(C417,'Produtos'!$A$5:$A$204,0))+SUMIFS($F$5:$F$1004,$C$5:$C$1004,C417,$E$5:$E$1004,"Entrada",$A$5:$A$1004,"&lt;="&amp;A417)-SUMIFS($F$5:$F$1004,$C$5:$C$1004,C417,$E$5:$E$1004,"Saída",$A$5:$A$1004,"&lt;="&amp;A417),""))</f>
        <v/>
      </c>
      <c r="J417" s="68">
        <f>IF(A417="","",A417+ROW()/100000)</f>
        <v/>
      </c>
    </row>
    <row r="418">
      <c r="A418" s="65" t="n"/>
      <c r="B418" s="58" t="n"/>
      <c r="C418" s="58" t="n"/>
      <c r="D418" s="66">
        <f>IF(C418="","",IFERROR(INDEX('Produtos'!$B$5:$B$204,MATCH(C418,'Produtos'!$A$5:$A$204,0)),"Código não cadastrado"))</f>
        <v/>
      </c>
      <c r="E418" s="58" t="n"/>
      <c r="F418" s="61" t="n"/>
      <c r="G418" s="59" t="n"/>
      <c r="H418" s="59" t="n"/>
      <c r="I418" s="67">
        <f>IF(OR(A418="",C418=""),"",IFERROR(INDEX('Produtos'!$F$5:$F$204,MATCH(C418,'Produtos'!$A$5:$A$204,0))+SUMIFS($F$5:$F$1004,$C$5:$C$1004,C418,$E$5:$E$1004,"Entrada",$A$5:$A$1004,"&lt;="&amp;A418)-SUMIFS($F$5:$F$1004,$C$5:$C$1004,C418,$E$5:$E$1004,"Saída",$A$5:$A$1004,"&lt;="&amp;A418),""))</f>
        <v/>
      </c>
      <c r="J418" s="68">
        <f>IF(A418="","",A418+ROW()/100000)</f>
        <v/>
      </c>
    </row>
    <row r="419">
      <c r="A419" s="65" t="n"/>
      <c r="B419" s="58" t="n"/>
      <c r="C419" s="58" t="n"/>
      <c r="D419" s="66">
        <f>IF(C419="","",IFERROR(INDEX('Produtos'!$B$5:$B$204,MATCH(C419,'Produtos'!$A$5:$A$204,0)),"Código não cadastrado"))</f>
        <v/>
      </c>
      <c r="E419" s="58" t="n"/>
      <c r="F419" s="61" t="n"/>
      <c r="G419" s="59" t="n"/>
      <c r="H419" s="59" t="n"/>
      <c r="I419" s="67">
        <f>IF(OR(A419="",C419=""),"",IFERROR(INDEX('Produtos'!$F$5:$F$204,MATCH(C419,'Produtos'!$A$5:$A$204,0))+SUMIFS($F$5:$F$1004,$C$5:$C$1004,C419,$E$5:$E$1004,"Entrada",$A$5:$A$1004,"&lt;="&amp;A419)-SUMIFS($F$5:$F$1004,$C$5:$C$1004,C419,$E$5:$E$1004,"Saída",$A$5:$A$1004,"&lt;="&amp;A419),""))</f>
        <v/>
      </c>
      <c r="J419" s="68">
        <f>IF(A419="","",A419+ROW()/100000)</f>
        <v/>
      </c>
    </row>
    <row r="420">
      <c r="A420" s="65" t="n"/>
      <c r="B420" s="58" t="n"/>
      <c r="C420" s="58" t="n"/>
      <c r="D420" s="66">
        <f>IF(C420="","",IFERROR(INDEX('Produtos'!$B$5:$B$204,MATCH(C420,'Produtos'!$A$5:$A$204,0)),"Código não cadastrado"))</f>
        <v/>
      </c>
      <c r="E420" s="58" t="n"/>
      <c r="F420" s="61" t="n"/>
      <c r="G420" s="59" t="n"/>
      <c r="H420" s="59" t="n"/>
      <c r="I420" s="67">
        <f>IF(OR(A420="",C420=""),"",IFERROR(INDEX('Produtos'!$F$5:$F$204,MATCH(C420,'Produtos'!$A$5:$A$204,0))+SUMIFS($F$5:$F$1004,$C$5:$C$1004,C420,$E$5:$E$1004,"Entrada",$A$5:$A$1004,"&lt;="&amp;A420)-SUMIFS($F$5:$F$1004,$C$5:$C$1004,C420,$E$5:$E$1004,"Saída",$A$5:$A$1004,"&lt;="&amp;A420),""))</f>
        <v/>
      </c>
      <c r="J420" s="68">
        <f>IF(A420="","",A420+ROW()/100000)</f>
        <v/>
      </c>
    </row>
    <row r="421">
      <c r="A421" s="65" t="n"/>
      <c r="B421" s="58" t="n"/>
      <c r="C421" s="58" t="n"/>
      <c r="D421" s="66">
        <f>IF(C421="","",IFERROR(INDEX('Produtos'!$B$5:$B$204,MATCH(C421,'Produtos'!$A$5:$A$204,0)),"Código não cadastrado"))</f>
        <v/>
      </c>
      <c r="E421" s="58" t="n"/>
      <c r="F421" s="61" t="n"/>
      <c r="G421" s="59" t="n"/>
      <c r="H421" s="59" t="n"/>
      <c r="I421" s="67">
        <f>IF(OR(A421="",C421=""),"",IFERROR(INDEX('Produtos'!$F$5:$F$204,MATCH(C421,'Produtos'!$A$5:$A$204,0))+SUMIFS($F$5:$F$1004,$C$5:$C$1004,C421,$E$5:$E$1004,"Entrada",$A$5:$A$1004,"&lt;="&amp;A421)-SUMIFS($F$5:$F$1004,$C$5:$C$1004,C421,$E$5:$E$1004,"Saída",$A$5:$A$1004,"&lt;="&amp;A421),""))</f>
        <v/>
      </c>
      <c r="J421" s="68">
        <f>IF(A421="","",A421+ROW()/100000)</f>
        <v/>
      </c>
    </row>
    <row r="422">
      <c r="A422" s="65" t="n"/>
      <c r="B422" s="58" t="n"/>
      <c r="C422" s="58" t="n"/>
      <c r="D422" s="66">
        <f>IF(C422="","",IFERROR(INDEX('Produtos'!$B$5:$B$204,MATCH(C422,'Produtos'!$A$5:$A$204,0)),"Código não cadastrado"))</f>
        <v/>
      </c>
      <c r="E422" s="58" t="n"/>
      <c r="F422" s="61" t="n"/>
      <c r="G422" s="59" t="n"/>
      <c r="H422" s="59" t="n"/>
      <c r="I422" s="67">
        <f>IF(OR(A422="",C422=""),"",IFERROR(INDEX('Produtos'!$F$5:$F$204,MATCH(C422,'Produtos'!$A$5:$A$204,0))+SUMIFS($F$5:$F$1004,$C$5:$C$1004,C422,$E$5:$E$1004,"Entrada",$A$5:$A$1004,"&lt;="&amp;A422)-SUMIFS($F$5:$F$1004,$C$5:$C$1004,C422,$E$5:$E$1004,"Saída",$A$5:$A$1004,"&lt;="&amp;A422),""))</f>
        <v/>
      </c>
      <c r="J422" s="68">
        <f>IF(A422="","",A422+ROW()/100000)</f>
        <v/>
      </c>
    </row>
    <row r="423">
      <c r="A423" s="65" t="n"/>
      <c r="B423" s="58" t="n"/>
      <c r="C423" s="58" t="n"/>
      <c r="D423" s="66">
        <f>IF(C423="","",IFERROR(INDEX('Produtos'!$B$5:$B$204,MATCH(C423,'Produtos'!$A$5:$A$204,0)),"Código não cadastrado"))</f>
        <v/>
      </c>
      <c r="E423" s="58" t="n"/>
      <c r="F423" s="61" t="n"/>
      <c r="G423" s="59" t="n"/>
      <c r="H423" s="59" t="n"/>
      <c r="I423" s="67">
        <f>IF(OR(A423="",C423=""),"",IFERROR(INDEX('Produtos'!$F$5:$F$204,MATCH(C423,'Produtos'!$A$5:$A$204,0))+SUMIFS($F$5:$F$1004,$C$5:$C$1004,C423,$E$5:$E$1004,"Entrada",$A$5:$A$1004,"&lt;="&amp;A423)-SUMIFS($F$5:$F$1004,$C$5:$C$1004,C423,$E$5:$E$1004,"Saída",$A$5:$A$1004,"&lt;="&amp;A423),""))</f>
        <v/>
      </c>
      <c r="J423" s="68">
        <f>IF(A423="","",A423+ROW()/100000)</f>
        <v/>
      </c>
    </row>
    <row r="424">
      <c r="A424" s="65" t="n"/>
      <c r="B424" s="58" t="n"/>
      <c r="C424" s="58" t="n"/>
      <c r="D424" s="66">
        <f>IF(C424="","",IFERROR(INDEX('Produtos'!$B$5:$B$204,MATCH(C424,'Produtos'!$A$5:$A$204,0)),"Código não cadastrado"))</f>
        <v/>
      </c>
      <c r="E424" s="58" t="n"/>
      <c r="F424" s="61" t="n"/>
      <c r="G424" s="59" t="n"/>
      <c r="H424" s="59" t="n"/>
      <c r="I424" s="67">
        <f>IF(OR(A424="",C424=""),"",IFERROR(INDEX('Produtos'!$F$5:$F$204,MATCH(C424,'Produtos'!$A$5:$A$204,0))+SUMIFS($F$5:$F$1004,$C$5:$C$1004,C424,$E$5:$E$1004,"Entrada",$A$5:$A$1004,"&lt;="&amp;A424)-SUMIFS($F$5:$F$1004,$C$5:$C$1004,C424,$E$5:$E$1004,"Saída",$A$5:$A$1004,"&lt;="&amp;A424),""))</f>
        <v/>
      </c>
      <c r="J424" s="68">
        <f>IF(A424="","",A424+ROW()/100000)</f>
        <v/>
      </c>
    </row>
    <row r="425">
      <c r="A425" s="65" t="n"/>
      <c r="B425" s="58" t="n"/>
      <c r="C425" s="58" t="n"/>
      <c r="D425" s="66">
        <f>IF(C425="","",IFERROR(INDEX('Produtos'!$B$5:$B$204,MATCH(C425,'Produtos'!$A$5:$A$204,0)),"Código não cadastrado"))</f>
        <v/>
      </c>
      <c r="E425" s="58" t="n"/>
      <c r="F425" s="61" t="n"/>
      <c r="G425" s="59" t="n"/>
      <c r="H425" s="59" t="n"/>
      <c r="I425" s="67">
        <f>IF(OR(A425="",C425=""),"",IFERROR(INDEX('Produtos'!$F$5:$F$204,MATCH(C425,'Produtos'!$A$5:$A$204,0))+SUMIFS($F$5:$F$1004,$C$5:$C$1004,C425,$E$5:$E$1004,"Entrada",$A$5:$A$1004,"&lt;="&amp;A425)-SUMIFS($F$5:$F$1004,$C$5:$C$1004,C425,$E$5:$E$1004,"Saída",$A$5:$A$1004,"&lt;="&amp;A425),""))</f>
        <v/>
      </c>
      <c r="J425" s="68">
        <f>IF(A425="","",A425+ROW()/100000)</f>
        <v/>
      </c>
    </row>
    <row r="426">
      <c r="A426" s="65" t="n"/>
      <c r="B426" s="58" t="n"/>
      <c r="C426" s="58" t="n"/>
      <c r="D426" s="66">
        <f>IF(C426="","",IFERROR(INDEX('Produtos'!$B$5:$B$204,MATCH(C426,'Produtos'!$A$5:$A$204,0)),"Código não cadastrado"))</f>
        <v/>
      </c>
      <c r="E426" s="58" t="n"/>
      <c r="F426" s="61" t="n"/>
      <c r="G426" s="59" t="n"/>
      <c r="H426" s="59" t="n"/>
      <c r="I426" s="67">
        <f>IF(OR(A426="",C426=""),"",IFERROR(INDEX('Produtos'!$F$5:$F$204,MATCH(C426,'Produtos'!$A$5:$A$204,0))+SUMIFS($F$5:$F$1004,$C$5:$C$1004,C426,$E$5:$E$1004,"Entrada",$A$5:$A$1004,"&lt;="&amp;A426)-SUMIFS($F$5:$F$1004,$C$5:$C$1004,C426,$E$5:$E$1004,"Saída",$A$5:$A$1004,"&lt;="&amp;A426),""))</f>
        <v/>
      </c>
      <c r="J426" s="68">
        <f>IF(A426="","",A426+ROW()/100000)</f>
        <v/>
      </c>
    </row>
    <row r="427">
      <c r="A427" s="65" t="n"/>
      <c r="B427" s="58" t="n"/>
      <c r="C427" s="58" t="n"/>
      <c r="D427" s="66">
        <f>IF(C427="","",IFERROR(INDEX('Produtos'!$B$5:$B$204,MATCH(C427,'Produtos'!$A$5:$A$204,0)),"Código não cadastrado"))</f>
        <v/>
      </c>
      <c r="E427" s="58" t="n"/>
      <c r="F427" s="61" t="n"/>
      <c r="G427" s="59" t="n"/>
      <c r="H427" s="59" t="n"/>
      <c r="I427" s="67">
        <f>IF(OR(A427="",C427=""),"",IFERROR(INDEX('Produtos'!$F$5:$F$204,MATCH(C427,'Produtos'!$A$5:$A$204,0))+SUMIFS($F$5:$F$1004,$C$5:$C$1004,C427,$E$5:$E$1004,"Entrada",$A$5:$A$1004,"&lt;="&amp;A427)-SUMIFS($F$5:$F$1004,$C$5:$C$1004,C427,$E$5:$E$1004,"Saída",$A$5:$A$1004,"&lt;="&amp;A427),""))</f>
        <v/>
      </c>
      <c r="J427" s="68">
        <f>IF(A427="","",A427+ROW()/100000)</f>
        <v/>
      </c>
    </row>
    <row r="428">
      <c r="A428" s="65" t="n"/>
      <c r="B428" s="58" t="n"/>
      <c r="C428" s="58" t="n"/>
      <c r="D428" s="66">
        <f>IF(C428="","",IFERROR(INDEX('Produtos'!$B$5:$B$204,MATCH(C428,'Produtos'!$A$5:$A$204,0)),"Código não cadastrado"))</f>
        <v/>
      </c>
      <c r="E428" s="58" t="n"/>
      <c r="F428" s="61" t="n"/>
      <c r="G428" s="59" t="n"/>
      <c r="H428" s="59" t="n"/>
      <c r="I428" s="67">
        <f>IF(OR(A428="",C428=""),"",IFERROR(INDEX('Produtos'!$F$5:$F$204,MATCH(C428,'Produtos'!$A$5:$A$204,0))+SUMIFS($F$5:$F$1004,$C$5:$C$1004,C428,$E$5:$E$1004,"Entrada",$A$5:$A$1004,"&lt;="&amp;A428)-SUMIFS($F$5:$F$1004,$C$5:$C$1004,C428,$E$5:$E$1004,"Saída",$A$5:$A$1004,"&lt;="&amp;A428),""))</f>
        <v/>
      </c>
      <c r="J428" s="68">
        <f>IF(A428="","",A428+ROW()/100000)</f>
        <v/>
      </c>
    </row>
    <row r="429">
      <c r="A429" s="65" t="n"/>
      <c r="B429" s="58" t="n"/>
      <c r="C429" s="58" t="n"/>
      <c r="D429" s="66">
        <f>IF(C429="","",IFERROR(INDEX('Produtos'!$B$5:$B$204,MATCH(C429,'Produtos'!$A$5:$A$204,0)),"Código não cadastrado"))</f>
        <v/>
      </c>
      <c r="E429" s="58" t="n"/>
      <c r="F429" s="61" t="n"/>
      <c r="G429" s="59" t="n"/>
      <c r="H429" s="59" t="n"/>
      <c r="I429" s="67">
        <f>IF(OR(A429="",C429=""),"",IFERROR(INDEX('Produtos'!$F$5:$F$204,MATCH(C429,'Produtos'!$A$5:$A$204,0))+SUMIFS($F$5:$F$1004,$C$5:$C$1004,C429,$E$5:$E$1004,"Entrada",$A$5:$A$1004,"&lt;="&amp;A429)-SUMIFS($F$5:$F$1004,$C$5:$C$1004,C429,$E$5:$E$1004,"Saída",$A$5:$A$1004,"&lt;="&amp;A429),""))</f>
        <v/>
      </c>
      <c r="J429" s="68">
        <f>IF(A429="","",A429+ROW()/100000)</f>
        <v/>
      </c>
    </row>
    <row r="430">
      <c r="A430" s="65" t="n"/>
      <c r="B430" s="58" t="n"/>
      <c r="C430" s="58" t="n"/>
      <c r="D430" s="66">
        <f>IF(C430="","",IFERROR(INDEX('Produtos'!$B$5:$B$204,MATCH(C430,'Produtos'!$A$5:$A$204,0)),"Código não cadastrado"))</f>
        <v/>
      </c>
      <c r="E430" s="58" t="n"/>
      <c r="F430" s="61" t="n"/>
      <c r="G430" s="59" t="n"/>
      <c r="H430" s="59" t="n"/>
      <c r="I430" s="67">
        <f>IF(OR(A430="",C430=""),"",IFERROR(INDEX('Produtos'!$F$5:$F$204,MATCH(C430,'Produtos'!$A$5:$A$204,0))+SUMIFS($F$5:$F$1004,$C$5:$C$1004,C430,$E$5:$E$1004,"Entrada",$A$5:$A$1004,"&lt;="&amp;A430)-SUMIFS($F$5:$F$1004,$C$5:$C$1004,C430,$E$5:$E$1004,"Saída",$A$5:$A$1004,"&lt;="&amp;A430),""))</f>
        <v/>
      </c>
      <c r="J430" s="68">
        <f>IF(A430="","",A430+ROW()/100000)</f>
        <v/>
      </c>
    </row>
    <row r="431">
      <c r="A431" s="65" t="n"/>
      <c r="B431" s="58" t="n"/>
      <c r="C431" s="58" t="n"/>
      <c r="D431" s="66">
        <f>IF(C431="","",IFERROR(INDEX('Produtos'!$B$5:$B$204,MATCH(C431,'Produtos'!$A$5:$A$204,0)),"Código não cadastrado"))</f>
        <v/>
      </c>
      <c r="E431" s="58" t="n"/>
      <c r="F431" s="61" t="n"/>
      <c r="G431" s="59" t="n"/>
      <c r="H431" s="59" t="n"/>
      <c r="I431" s="67">
        <f>IF(OR(A431="",C431=""),"",IFERROR(INDEX('Produtos'!$F$5:$F$204,MATCH(C431,'Produtos'!$A$5:$A$204,0))+SUMIFS($F$5:$F$1004,$C$5:$C$1004,C431,$E$5:$E$1004,"Entrada",$A$5:$A$1004,"&lt;="&amp;A431)-SUMIFS($F$5:$F$1004,$C$5:$C$1004,C431,$E$5:$E$1004,"Saída",$A$5:$A$1004,"&lt;="&amp;A431),""))</f>
        <v/>
      </c>
      <c r="J431" s="68">
        <f>IF(A431="","",A431+ROW()/100000)</f>
        <v/>
      </c>
    </row>
    <row r="432">
      <c r="A432" s="65" t="n"/>
      <c r="B432" s="58" t="n"/>
      <c r="C432" s="58" t="n"/>
      <c r="D432" s="66">
        <f>IF(C432="","",IFERROR(INDEX('Produtos'!$B$5:$B$204,MATCH(C432,'Produtos'!$A$5:$A$204,0)),"Código não cadastrado"))</f>
        <v/>
      </c>
      <c r="E432" s="58" t="n"/>
      <c r="F432" s="61" t="n"/>
      <c r="G432" s="59" t="n"/>
      <c r="H432" s="59" t="n"/>
      <c r="I432" s="67">
        <f>IF(OR(A432="",C432=""),"",IFERROR(INDEX('Produtos'!$F$5:$F$204,MATCH(C432,'Produtos'!$A$5:$A$204,0))+SUMIFS($F$5:$F$1004,$C$5:$C$1004,C432,$E$5:$E$1004,"Entrada",$A$5:$A$1004,"&lt;="&amp;A432)-SUMIFS($F$5:$F$1004,$C$5:$C$1004,C432,$E$5:$E$1004,"Saída",$A$5:$A$1004,"&lt;="&amp;A432),""))</f>
        <v/>
      </c>
      <c r="J432" s="68">
        <f>IF(A432="","",A432+ROW()/100000)</f>
        <v/>
      </c>
    </row>
    <row r="433">
      <c r="A433" s="65" t="n"/>
      <c r="B433" s="58" t="n"/>
      <c r="C433" s="58" t="n"/>
      <c r="D433" s="66">
        <f>IF(C433="","",IFERROR(INDEX('Produtos'!$B$5:$B$204,MATCH(C433,'Produtos'!$A$5:$A$204,0)),"Código não cadastrado"))</f>
        <v/>
      </c>
      <c r="E433" s="58" t="n"/>
      <c r="F433" s="61" t="n"/>
      <c r="G433" s="59" t="n"/>
      <c r="H433" s="59" t="n"/>
      <c r="I433" s="67">
        <f>IF(OR(A433="",C433=""),"",IFERROR(INDEX('Produtos'!$F$5:$F$204,MATCH(C433,'Produtos'!$A$5:$A$204,0))+SUMIFS($F$5:$F$1004,$C$5:$C$1004,C433,$E$5:$E$1004,"Entrada",$A$5:$A$1004,"&lt;="&amp;A433)-SUMIFS($F$5:$F$1004,$C$5:$C$1004,C433,$E$5:$E$1004,"Saída",$A$5:$A$1004,"&lt;="&amp;A433),""))</f>
        <v/>
      </c>
      <c r="J433" s="68">
        <f>IF(A433="","",A433+ROW()/100000)</f>
        <v/>
      </c>
    </row>
    <row r="434">
      <c r="A434" s="65" t="n"/>
      <c r="B434" s="58" t="n"/>
      <c r="C434" s="58" t="n"/>
      <c r="D434" s="66">
        <f>IF(C434="","",IFERROR(INDEX('Produtos'!$B$5:$B$204,MATCH(C434,'Produtos'!$A$5:$A$204,0)),"Código não cadastrado"))</f>
        <v/>
      </c>
      <c r="E434" s="58" t="n"/>
      <c r="F434" s="61" t="n"/>
      <c r="G434" s="59" t="n"/>
      <c r="H434" s="59" t="n"/>
      <c r="I434" s="67">
        <f>IF(OR(A434="",C434=""),"",IFERROR(INDEX('Produtos'!$F$5:$F$204,MATCH(C434,'Produtos'!$A$5:$A$204,0))+SUMIFS($F$5:$F$1004,$C$5:$C$1004,C434,$E$5:$E$1004,"Entrada",$A$5:$A$1004,"&lt;="&amp;A434)-SUMIFS($F$5:$F$1004,$C$5:$C$1004,C434,$E$5:$E$1004,"Saída",$A$5:$A$1004,"&lt;="&amp;A434),""))</f>
        <v/>
      </c>
      <c r="J434" s="68">
        <f>IF(A434="","",A434+ROW()/100000)</f>
        <v/>
      </c>
    </row>
    <row r="435">
      <c r="A435" s="65" t="n"/>
      <c r="B435" s="58" t="n"/>
      <c r="C435" s="58" t="n"/>
      <c r="D435" s="66">
        <f>IF(C435="","",IFERROR(INDEX('Produtos'!$B$5:$B$204,MATCH(C435,'Produtos'!$A$5:$A$204,0)),"Código não cadastrado"))</f>
        <v/>
      </c>
      <c r="E435" s="58" t="n"/>
      <c r="F435" s="61" t="n"/>
      <c r="G435" s="59" t="n"/>
      <c r="H435" s="59" t="n"/>
      <c r="I435" s="67">
        <f>IF(OR(A435="",C435=""),"",IFERROR(INDEX('Produtos'!$F$5:$F$204,MATCH(C435,'Produtos'!$A$5:$A$204,0))+SUMIFS($F$5:$F$1004,$C$5:$C$1004,C435,$E$5:$E$1004,"Entrada",$A$5:$A$1004,"&lt;="&amp;A435)-SUMIFS($F$5:$F$1004,$C$5:$C$1004,C435,$E$5:$E$1004,"Saída",$A$5:$A$1004,"&lt;="&amp;A435),""))</f>
        <v/>
      </c>
      <c r="J435" s="68">
        <f>IF(A435="","",A435+ROW()/100000)</f>
        <v/>
      </c>
    </row>
    <row r="436">
      <c r="A436" s="65" t="n"/>
      <c r="B436" s="58" t="n"/>
      <c r="C436" s="58" t="n"/>
      <c r="D436" s="66">
        <f>IF(C436="","",IFERROR(INDEX('Produtos'!$B$5:$B$204,MATCH(C436,'Produtos'!$A$5:$A$204,0)),"Código não cadastrado"))</f>
        <v/>
      </c>
      <c r="E436" s="58" t="n"/>
      <c r="F436" s="61" t="n"/>
      <c r="G436" s="59" t="n"/>
      <c r="H436" s="59" t="n"/>
      <c r="I436" s="67">
        <f>IF(OR(A436="",C436=""),"",IFERROR(INDEX('Produtos'!$F$5:$F$204,MATCH(C436,'Produtos'!$A$5:$A$204,0))+SUMIFS($F$5:$F$1004,$C$5:$C$1004,C436,$E$5:$E$1004,"Entrada",$A$5:$A$1004,"&lt;="&amp;A436)-SUMIFS($F$5:$F$1004,$C$5:$C$1004,C436,$E$5:$E$1004,"Saída",$A$5:$A$1004,"&lt;="&amp;A436),""))</f>
        <v/>
      </c>
      <c r="J436" s="68">
        <f>IF(A436="","",A436+ROW()/100000)</f>
        <v/>
      </c>
    </row>
    <row r="437">
      <c r="A437" s="65" t="n"/>
      <c r="B437" s="58" t="n"/>
      <c r="C437" s="58" t="n"/>
      <c r="D437" s="66">
        <f>IF(C437="","",IFERROR(INDEX('Produtos'!$B$5:$B$204,MATCH(C437,'Produtos'!$A$5:$A$204,0)),"Código não cadastrado"))</f>
        <v/>
      </c>
      <c r="E437" s="58" t="n"/>
      <c r="F437" s="61" t="n"/>
      <c r="G437" s="59" t="n"/>
      <c r="H437" s="59" t="n"/>
      <c r="I437" s="67">
        <f>IF(OR(A437="",C437=""),"",IFERROR(INDEX('Produtos'!$F$5:$F$204,MATCH(C437,'Produtos'!$A$5:$A$204,0))+SUMIFS($F$5:$F$1004,$C$5:$C$1004,C437,$E$5:$E$1004,"Entrada",$A$5:$A$1004,"&lt;="&amp;A437)-SUMIFS($F$5:$F$1004,$C$5:$C$1004,C437,$E$5:$E$1004,"Saída",$A$5:$A$1004,"&lt;="&amp;A437),""))</f>
        <v/>
      </c>
      <c r="J437" s="68">
        <f>IF(A437="","",A437+ROW()/100000)</f>
        <v/>
      </c>
    </row>
    <row r="438">
      <c r="A438" s="65" t="n"/>
      <c r="B438" s="58" t="n"/>
      <c r="C438" s="58" t="n"/>
      <c r="D438" s="66">
        <f>IF(C438="","",IFERROR(INDEX('Produtos'!$B$5:$B$204,MATCH(C438,'Produtos'!$A$5:$A$204,0)),"Código não cadastrado"))</f>
        <v/>
      </c>
      <c r="E438" s="58" t="n"/>
      <c r="F438" s="61" t="n"/>
      <c r="G438" s="59" t="n"/>
      <c r="H438" s="59" t="n"/>
      <c r="I438" s="67">
        <f>IF(OR(A438="",C438=""),"",IFERROR(INDEX('Produtos'!$F$5:$F$204,MATCH(C438,'Produtos'!$A$5:$A$204,0))+SUMIFS($F$5:$F$1004,$C$5:$C$1004,C438,$E$5:$E$1004,"Entrada",$A$5:$A$1004,"&lt;="&amp;A438)-SUMIFS($F$5:$F$1004,$C$5:$C$1004,C438,$E$5:$E$1004,"Saída",$A$5:$A$1004,"&lt;="&amp;A438),""))</f>
        <v/>
      </c>
      <c r="J438" s="68">
        <f>IF(A438="","",A438+ROW()/100000)</f>
        <v/>
      </c>
    </row>
    <row r="439">
      <c r="A439" s="65" t="n"/>
      <c r="B439" s="58" t="n"/>
      <c r="C439" s="58" t="n"/>
      <c r="D439" s="66">
        <f>IF(C439="","",IFERROR(INDEX('Produtos'!$B$5:$B$204,MATCH(C439,'Produtos'!$A$5:$A$204,0)),"Código não cadastrado"))</f>
        <v/>
      </c>
      <c r="E439" s="58" t="n"/>
      <c r="F439" s="61" t="n"/>
      <c r="G439" s="59" t="n"/>
      <c r="H439" s="59" t="n"/>
      <c r="I439" s="67">
        <f>IF(OR(A439="",C439=""),"",IFERROR(INDEX('Produtos'!$F$5:$F$204,MATCH(C439,'Produtos'!$A$5:$A$204,0))+SUMIFS($F$5:$F$1004,$C$5:$C$1004,C439,$E$5:$E$1004,"Entrada",$A$5:$A$1004,"&lt;="&amp;A439)-SUMIFS($F$5:$F$1004,$C$5:$C$1004,C439,$E$5:$E$1004,"Saída",$A$5:$A$1004,"&lt;="&amp;A439),""))</f>
        <v/>
      </c>
      <c r="J439" s="68">
        <f>IF(A439="","",A439+ROW()/100000)</f>
        <v/>
      </c>
    </row>
    <row r="440">
      <c r="A440" s="65" t="n"/>
      <c r="B440" s="58" t="n"/>
      <c r="C440" s="58" t="n"/>
      <c r="D440" s="66">
        <f>IF(C440="","",IFERROR(INDEX('Produtos'!$B$5:$B$204,MATCH(C440,'Produtos'!$A$5:$A$204,0)),"Código não cadastrado"))</f>
        <v/>
      </c>
      <c r="E440" s="58" t="n"/>
      <c r="F440" s="61" t="n"/>
      <c r="G440" s="59" t="n"/>
      <c r="H440" s="59" t="n"/>
      <c r="I440" s="67">
        <f>IF(OR(A440="",C440=""),"",IFERROR(INDEX('Produtos'!$F$5:$F$204,MATCH(C440,'Produtos'!$A$5:$A$204,0))+SUMIFS($F$5:$F$1004,$C$5:$C$1004,C440,$E$5:$E$1004,"Entrada",$A$5:$A$1004,"&lt;="&amp;A440)-SUMIFS($F$5:$F$1004,$C$5:$C$1004,C440,$E$5:$E$1004,"Saída",$A$5:$A$1004,"&lt;="&amp;A440),""))</f>
        <v/>
      </c>
      <c r="J440" s="68">
        <f>IF(A440="","",A440+ROW()/100000)</f>
        <v/>
      </c>
    </row>
    <row r="441">
      <c r="A441" s="65" t="n"/>
      <c r="B441" s="58" t="n"/>
      <c r="C441" s="58" t="n"/>
      <c r="D441" s="66">
        <f>IF(C441="","",IFERROR(INDEX('Produtos'!$B$5:$B$204,MATCH(C441,'Produtos'!$A$5:$A$204,0)),"Código não cadastrado"))</f>
        <v/>
      </c>
      <c r="E441" s="58" t="n"/>
      <c r="F441" s="61" t="n"/>
      <c r="G441" s="59" t="n"/>
      <c r="H441" s="59" t="n"/>
      <c r="I441" s="67">
        <f>IF(OR(A441="",C441=""),"",IFERROR(INDEX('Produtos'!$F$5:$F$204,MATCH(C441,'Produtos'!$A$5:$A$204,0))+SUMIFS($F$5:$F$1004,$C$5:$C$1004,C441,$E$5:$E$1004,"Entrada",$A$5:$A$1004,"&lt;="&amp;A441)-SUMIFS($F$5:$F$1004,$C$5:$C$1004,C441,$E$5:$E$1004,"Saída",$A$5:$A$1004,"&lt;="&amp;A441),""))</f>
        <v/>
      </c>
      <c r="J441" s="68">
        <f>IF(A441="","",A441+ROW()/100000)</f>
        <v/>
      </c>
    </row>
    <row r="442">
      <c r="A442" s="65" t="n"/>
      <c r="B442" s="58" t="n"/>
      <c r="C442" s="58" t="n"/>
      <c r="D442" s="66">
        <f>IF(C442="","",IFERROR(INDEX('Produtos'!$B$5:$B$204,MATCH(C442,'Produtos'!$A$5:$A$204,0)),"Código não cadastrado"))</f>
        <v/>
      </c>
      <c r="E442" s="58" t="n"/>
      <c r="F442" s="61" t="n"/>
      <c r="G442" s="59" t="n"/>
      <c r="H442" s="59" t="n"/>
      <c r="I442" s="67">
        <f>IF(OR(A442="",C442=""),"",IFERROR(INDEX('Produtos'!$F$5:$F$204,MATCH(C442,'Produtos'!$A$5:$A$204,0))+SUMIFS($F$5:$F$1004,$C$5:$C$1004,C442,$E$5:$E$1004,"Entrada",$A$5:$A$1004,"&lt;="&amp;A442)-SUMIFS($F$5:$F$1004,$C$5:$C$1004,C442,$E$5:$E$1004,"Saída",$A$5:$A$1004,"&lt;="&amp;A442),""))</f>
        <v/>
      </c>
      <c r="J442" s="68">
        <f>IF(A442="","",A442+ROW()/100000)</f>
        <v/>
      </c>
    </row>
    <row r="443">
      <c r="A443" s="65" t="n"/>
      <c r="B443" s="58" t="n"/>
      <c r="C443" s="58" t="n"/>
      <c r="D443" s="66">
        <f>IF(C443="","",IFERROR(INDEX('Produtos'!$B$5:$B$204,MATCH(C443,'Produtos'!$A$5:$A$204,0)),"Código não cadastrado"))</f>
        <v/>
      </c>
      <c r="E443" s="58" t="n"/>
      <c r="F443" s="61" t="n"/>
      <c r="G443" s="59" t="n"/>
      <c r="H443" s="59" t="n"/>
      <c r="I443" s="67">
        <f>IF(OR(A443="",C443=""),"",IFERROR(INDEX('Produtos'!$F$5:$F$204,MATCH(C443,'Produtos'!$A$5:$A$204,0))+SUMIFS($F$5:$F$1004,$C$5:$C$1004,C443,$E$5:$E$1004,"Entrada",$A$5:$A$1004,"&lt;="&amp;A443)-SUMIFS($F$5:$F$1004,$C$5:$C$1004,C443,$E$5:$E$1004,"Saída",$A$5:$A$1004,"&lt;="&amp;A443),""))</f>
        <v/>
      </c>
      <c r="J443" s="68">
        <f>IF(A443="","",A443+ROW()/100000)</f>
        <v/>
      </c>
    </row>
    <row r="444">
      <c r="A444" s="65" t="n"/>
      <c r="B444" s="58" t="n"/>
      <c r="C444" s="58" t="n"/>
      <c r="D444" s="66">
        <f>IF(C444="","",IFERROR(INDEX('Produtos'!$B$5:$B$204,MATCH(C444,'Produtos'!$A$5:$A$204,0)),"Código não cadastrado"))</f>
        <v/>
      </c>
      <c r="E444" s="58" t="n"/>
      <c r="F444" s="61" t="n"/>
      <c r="G444" s="59" t="n"/>
      <c r="H444" s="59" t="n"/>
      <c r="I444" s="67">
        <f>IF(OR(A444="",C444=""),"",IFERROR(INDEX('Produtos'!$F$5:$F$204,MATCH(C444,'Produtos'!$A$5:$A$204,0))+SUMIFS($F$5:$F$1004,$C$5:$C$1004,C444,$E$5:$E$1004,"Entrada",$A$5:$A$1004,"&lt;="&amp;A444)-SUMIFS($F$5:$F$1004,$C$5:$C$1004,C444,$E$5:$E$1004,"Saída",$A$5:$A$1004,"&lt;="&amp;A444),""))</f>
        <v/>
      </c>
      <c r="J444" s="68">
        <f>IF(A444="","",A444+ROW()/100000)</f>
        <v/>
      </c>
    </row>
    <row r="445">
      <c r="A445" s="65" t="n"/>
      <c r="B445" s="58" t="n"/>
      <c r="C445" s="58" t="n"/>
      <c r="D445" s="66">
        <f>IF(C445="","",IFERROR(INDEX('Produtos'!$B$5:$B$204,MATCH(C445,'Produtos'!$A$5:$A$204,0)),"Código não cadastrado"))</f>
        <v/>
      </c>
      <c r="E445" s="58" t="n"/>
      <c r="F445" s="61" t="n"/>
      <c r="G445" s="59" t="n"/>
      <c r="H445" s="59" t="n"/>
      <c r="I445" s="67">
        <f>IF(OR(A445="",C445=""),"",IFERROR(INDEX('Produtos'!$F$5:$F$204,MATCH(C445,'Produtos'!$A$5:$A$204,0))+SUMIFS($F$5:$F$1004,$C$5:$C$1004,C445,$E$5:$E$1004,"Entrada",$A$5:$A$1004,"&lt;="&amp;A445)-SUMIFS($F$5:$F$1004,$C$5:$C$1004,C445,$E$5:$E$1004,"Saída",$A$5:$A$1004,"&lt;="&amp;A445),""))</f>
        <v/>
      </c>
      <c r="J445" s="68">
        <f>IF(A445="","",A445+ROW()/100000)</f>
        <v/>
      </c>
    </row>
    <row r="446">
      <c r="A446" s="65" t="n"/>
      <c r="B446" s="58" t="n"/>
      <c r="C446" s="58" t="n"/>
      <c r="D446" s="66">
        <f>IF(C446="","",IFERROR(INDEX('Produtos'!$B$5:$B$204,MATCH(C446,'Produtos'!$A$5:$A$204,0)),"Código não cadastrado"))</f>
        <v/>
      </c>
      <c r="E446" s="58" t="n"/>
      <c r="F446" s="61" t="n"/>
      <c r="G446" s="59" t="n"/>
      <c r="H446" s="59" t="n"/>
      <c r="I446" s="67">
        <f>IF(OR(A446="",C446=""),"",IFERROR(INDEX('Produtos'!$F$5:$F$204,MATCH(C446,'Produtos'!$A$5:$A$204,0))+SUMIFS($F$5:$F$1004,$C$5:$C$1004,C446,$E$5:$E$1004,"Entrada",$A$5:$A$1004,"&lt;="&amp;A446)-SUMIFS($F$5:$F$1004,$C$5:$C$1004,C446,$E$5:$E$1004,"Saída",$A$5:$A$1004,"&lt;="&amp;A446),""))</f>
        <v/>
      </c>
      <c r="J446" s="68">
        <f>IF(A446="","",A446+ROW()/100000)</f>
        <v/>
      </c>
    </row>
    <row r="447">
      <c r="A447" s="65" t="n"/>
      <c r="B447" s="58" t="n"/>
      <c r="C447" s="58" t="n"/>
      <c r="D447" s="66">
        <f>IF(C447="","",IFERROR(INDEX('Produtos'!$B$5:$B$204,MATCH(C447,'Produtos'!$A$5:$A$204,0)),"Código não cadastrado"))</f>
        <v/>
      </c>
      <c r="E447" s="58" t="n"/>
      <c r="F447" s="61" t="n"/>
      <c r="G447" s="59" t="n"/>
      <c r="H447" s="59" t="n"/>
      <c r="I447" s="67">
        <f>IF(OR(A447="",C447=""),"",IFERROR(INDEX('Produtos'!$F$5:$F$204,MATCH(C447,'Produtos'!$A$5:$A$204,0))+SUMIFS($F$5:$F$1004,$C$5:$C$1004,C447,$E$5:$E$1004,"Entrada",$A$5:$A$1004,"&lt;="&amp;A447)-SUMIFS($F$5:$F$1004,$C$5:$C$1004,C447,$E$5:$E$1004,"Saída",$A$5:$A$1004,"&lt;="&amp;A447),""))</f>
        <v/>
      </c>
      <c r="J447" s="68">
        <f>IF(A447="","",A447+ROW()/100000)</f>
        <v/>
      </c>
    </row>
    <row r="448">
      <c r="A448" s="65" t="n"/>
      <c r="B448" s="58" t="n"/>
      <c r="C448" s="58" t="n"/>
      <c r="D448" s="66">
        <f>IF(C448="","",IFERROR(INDEX('Produtos'!$B$5:$B$204,MATCH(C448,'Produtos'!$A$5:$A$204,0)),"Código não cadastrado"))</f>
        <v/>
      </c>
      <c r="E448" s="58" t="n"/>
      <c r="F448" s="61" t="n"/>
      <c r="G448" s="59" t="n"/>
      <c r="H448" s="59" t="n"/>
      <c r="I448" s="67">
        <f>IF(OR(A448="",C448=""),"",IFERROR(INDEX('Produtos'!$F$5:$F$204,MATCH(C448,'Produtos'!$A$5:$A$204,0))+SUMIFS($F$5:$F$1004,$C$5:$C$1004,C448,$E$5:$E$1004,"Entrada",$A$5:$A$1004,"&lt;="&amp;A448)-SUMIFS($F$5:$F$1004,$C$5:$C$1004,C448,$E$5:$E$1004,"Saída",$A$5:$A$1004,"&lt;="&amp;A448),""))</f>
        <v/>
      </c>
      <c r="J448" s="68">
        <f>IF(A448="","",A448+ROW()/100000)</f>
        <v/>
      </c>
    </row>
    <row r="449">
      <c r="A449" s="65" t="n"/>
      <c r="B449" s="58" t="n"/>
      <c r="C449" s="58" t="n"/>
      <c r="D449" s="66">
        <f>IF(C449="","",IFERROR(INDEX('Produtos'!$B$5:$B$204,MATCH(C449,'Produtos'!$A$5:$A$204,0)),"Código não cadastrado"))</f>
        <v/>
      </c>
      <c r="E449" s="58" t="n"/>
      <c r="F449" s="61" t="n"/>
      <c r="G449" s="59" t="n"/>
      <c r="H449" s="59" t="n"/>
      <c r="I449" s="67">
        <f>IF(OR(A449="",C449=""),"",IFERROR(INDEX('Produtos'!$F$5:$F$204,MATCH(C449,'Produtos'!$A$5:$A$204,0))+SUMIFS($F$5:$F$1004,$C$5:$C$1004,C449,$E$5:$E$1004,"Entrada",$A$5:$A$1004,"&lt;="&amp;A449)-SUMIFS($F$5:$F$1004,$C$5:$C$1004,C449,$E$5:$E$1004,"Saída",$A$5:$A$1004,"&lt;="&amp;A449),""))</f>
        <v/>
      </c>
      <c r="J449" s="68">
        <f>IF(A449="","",A449+ROW()/100000)</f>
        <v/>
      </c>
    </row>
    <row r="450">
      <c r="A450" s="65" t="n"/>
      <c r="B450" s="58" t="n"/>
      <c r="C450" s="58" t="n"/>
      <c r="D450" s="66">
        <f>IF(C450="","",IFERROR(INDEX('Produtos'!$B$5:$B$204,MATCH(C450,'Produtos'!$A$5:$A$204,0)),"Código não cadastrado"))</f>
        <v/>
      </c>
      <c r="E450" s="58" t="n"/>
      <c r="F450" s="61" t="n"/>
      <c r="G450" s="59" t="n"/>
      <c r="H450" s="59" t="n"/>
      <c r="I450" s="67">
        <f>IF(OR(A450="",C450=""),"",IFERROR(INDEX('Produtos'!$F$5:$F$204,MATCH(C450,'Produtos'!$A$5:$A$204,0))+SUMIFS($F$5:$F$1004,$C$5:$C$1004,C450,$E$5:$E$1004,"Entrada",$A$5:$A$1004,"&lt;="&amp;A450)-SUMIFS($F$5:$F$1004,$C$5:$C$1004,C450,$E$5:$E$1004,"Saída",$A$5:$A$1004,"&lt;="&amp;A450),""))</f>
        <v/>
      </c>
      <c r="J450" s="68">
        <f>IF(A450="","",A450+ROW()/100000)</f>
        <v/>
      </c>
    </row>
    <row r="451">
      <c r="A451" s="65" t="n"/>
      <c r="B451" s="58" t="n"/>
      <c r="C451" s="58" t="n"/>
      <c r="D451" s="66">
        <f>IF(C451="","",IFERROR(INDEX('Produtos'!$B$5:$B$204,MATCH(C451,'Produtos'!$A$5:$A$204,0)),"Código não cadastrado"))</f>
        <v/>
      </c>
      <c r="E451" s="58" t="n"/>
      <c r="F451" s="61" t="n"/>
      <c r="G451" s="59" t="n"/>
      <c r="H451" s="59" t="n"/>
      <c r="I451" s="67">
        <f>IF(OR(A451="",C451=""),"",IFERROR(INDEX('Produtos'!$F$5:$F$204,MATCH(C451,'Produtos'!$A$5:$A$204,0))+SUMIFS($F$5:$F$1004,$C$5:$C$1004,C451,$E$5:$E$1004,"Entrada",$A$5:$A$1004,"&lt;="&amp;A451)-SUMIFS($F$5:$F$1004,$C$5:$C$1004,C451,$E$5:$E$1004,"Saída",$A$5:$A$1004,"&lt;="&amp;A451),""))</f>
        <v/>
      </c>
      <c r="J451" s="68">
        <f>IF(A451="","",A451+ROW()/100000)</f>
        <v/>
      </c>
    </row>
    <row r="452">
      <c r="A452" s="65" t="n"/>
      <c r="B452" s="58" t="n"/>
      <c r="C452" s="58" t="n"/>
      <c r="D452" s="66">
        <f>IF(C452="","",IFERROR(INDEX('Produtos'!$B$5:$B$204,MATCH(C452,'Produtos'!$A$5:$A$204,0)),"Código não cadastrado"))</f>
        <v/>
      </c>
      <c r="E452" s="58" t="n"/>
      <c r="F452" s="61" t="n"/>
      <c r="G452" s="59" t="n"/>
      <c r="H452" s="59" t="n"/>
      <c r="I452" s="67">
        <f>IF(OR(A452="",C452=""),"",IFERROR(INDEX('Produtos'!$F$5:$F$204,MATCH(C452,'Produtos'!$A$5:$A$204,0))+SUMIFS($F$5:$F$1004,$C$5:$C$1004,C452,$E$5:$E$1004,"Entrada",$A$5:$A$1004,"&lt;="&amp;A452)-SUMIFS($F$5:$F$1004,$C$5:$C$1004,C452,$E$5:$E$1004,"Saída",$A$5:$A$1004,"&lt;="&amp;A452),""))</f>
        <v/>
      </c>
      <c r="J452" s="68">
        <f>IF(A452="","",A452+ROW()/100000)</f>
        <v/>
      </c>
    </row>
    <row r="453">
      <c r="A453" s="65" t="n"/>
      <c r="B453" s="58" t="n"/>
      <c r="C453" s="58" t="n"/>
      <c r="D453" s="66">
        <f>IF(C453="","",IFERROR(INDEX('Produtos'!$B$5:$B$204,MATCH(C453,'Produtos'!$A$5:$A$204,0)),"Código não cadastrado"))</f>
        <v/>
      </c>
      <c r="E453" s="58" t="n"/>
      <c r="F453" s="61" t="n"/>
      <c r="G453" s="59" t="n"/>
      <c r="H453" s="59" t="n"/>
      <c r="I453" s="67">
        <f>IF(OR(A453="",C453=""),"",IFERROR(INDEX('Produtos'!$F$5:$F$204,MATCH(C453,'Produtos'!$A$5:$A$204,0))+SUMIFS($F$5:$F$1004,$C$5:$C$1004,C453,$E$5:$E$1004,"Entrada",$A$5:$A$1004,"&lt;="&amp;A453)-SUMIFS($F$5:$F$1004,$C$5:$C$1004,C453,$E$5:$E$1004,"Saída",$A$5:$A$1004,"&lt;="&amp;A453),""))</f>
        <v/>
      </c>
      <c r="J453" s="68">
        <f>IF(A453="","",A453+ROW()/100000)</f>
        <v/>
      </c>
    </row>
    <row r="454">
      <c r="A454" s="65" t="n"/>
      <c r="B454" s="58" t="n"/>
      <c r="C454" s="58" t="n"/>
      <c r="D454" s="66">
        <f>IF(C454="","",IFERROR(INDEX('Produtos'!$B$5:$B$204,MATCH(C454,'Produtos'!$A$5:$A$204,0)),"Código não cadastrado"))</f>
        <v/>
      </c>
      <c r="E454" s="58" t="n"/>
      <c r="F454" s="61" t="n"/>
      <c r="G454" s="59" t="n"/>
      <c r="H454" s="59" t="n"/>
      <c r="I454" s="67">
        <f>IF(OR(A454="",C454=""),"",IFERROR(INDEX('Produtos'!$F$5:$F$204,MATCH(C454,'Produtos'!$A$5:$A$204,0))+SUMIFS($F$5:$F$1004,$C$5:$C$1004,C454,$E$5:$E$1004,"Entrada",$A$5:$A$1004,"&lt;="&amp;A454)-SUMIFS($F$5:$F$1004,$C$5:$C$1004,C454,$E$5:$E$1004,"Saída",$A$5:$A$1004,"&lt;="&amp;A454),""))</f>
        <v/>
      </c>
      <c r="J454" s="68">
        <f>IF(A454="","",A454+ROW()/100000)</f>
        <v/>
      </c>
    </row>
    <row r="455">
      <c r="A455" s="65" t="n"/>
      <c r="B455" s="58" t="n"/>
      <c r="C455" s="58" t="n"/>
      <c r="D455" s="66">
        <f>IF(C455="","",IFERROR(INDEX('Produtos'!$B$5:$B$204,MATCH(C455,'Produtos'!$A$5:$A$204,0)),"Código não cadastrado"))</f>
        <v/>
      </c>
      <c r="E455" s="58" t="n"/>
      <c r="F455" s="61" t="n"/>
      <c r="G455" s="59" t="n"/>
      <c r="H455" s="59" t="n"/>
      <c r="I455" s="67">
        <f>IF(OR(A455="",C455=""),"",IFERROR(INDEX('Produtos'!$F$5:$F$204,MATCH(C455,'Produtos'!$A$5:$A$204,0))+SUMIFS($F$5:$F$1004,$C$5:$C$1004,C455,$E$5:$E$1004,"Entrada",$A$5:$A$1004,"&lt;="&amp;A455)-SUMIFS($F$5:$F$1004,$C$5:$C$1004,C455,$E$5:$E$1004,"Saída",$A$5:$A$1004,"&lt;="&amp;A455),""))</f>
        <v/>
      </c>
      <c r="J455" s="68">
        <f>IF(A455="","",A455+ROW()/100000)</f>
        <v/>
      </c>
    </row>
    <row r="456">
      <c r="A456" s="65" t="n"/>
      <c r="B456" s="58" t="n"/>
      <c r="C456" s="58" t="n"/>
      <c r="D456" s="66">
        <f>IF(C456="","",IFERROR(INDEX('Produtos'!$B$5:$B$204,MATCH(C456,'Produtos'!$A$5:$A$204,0)),"Código não cadastrado"))</f>
        <v/>
      </c>
      <c r="E456" s="58" t="n"/>
      <c r="F456" s="61" t="n"/>
      <c r="G456" s="59" t="n"/>
      <c r="H456" s="59" t="n"/>
      <c r="I456" s="67">
        <f>IF(OR(A456="",C456=""),"",IFERROR(INDEX('Produtos'!$F$5:$F$204,MATCH(C456,'Produtos'!$A$5:$A$204,0))+SUMIFS($F$5:$F$1004,$C$5:$C$1004,C456,$E$5:$E$1004,"Entrada",$A$5:$A$1004,"&lt;="&amp;A456)-SUMIFS($F$5:$F$1004,$C$5:$C$1004,C456,$E$5:$E$1004,"Saída",$A$5:$A$1004,"&lt;="&amp;A456),""))</f>
        <v/>
      </c>
      <c r="J456" s="68">
        <f>IF(A456="","",A456+ROW()/100000)</f>
        <v/>
      </c>
    </row>
    <row r="457">
      <c r="A457" s="65" t="n"/>
      <c r="B457" s="58" t="n"/>
      <c r="C457" s="58" t="n"/>
      <c r="D457" s="66">
        <f>IF(C457="","",IFERROR(INDEX('Produtos'!$B$5:$B$204,MATCH(C457,'Produtos'!$A$5:$A$204,0)),"Código não cadastrado"))</f>
        <v/>
      </c>
      <c r="E457" s="58" t="n"/>
      <c r="F457" s="61" t="n"/>
      <c r="G457" s="59" t="n"/>
      <c r="H457" s="59" t="n"/>
      <c r="I457" s="67">
        <f>IF(OR(A457="",C457=""),"",IFERROR(INDEX('Produtos'!$F$5:$F$204,MATCH(C457,'Produtos'!$A$5:$A$204,0))+SUMIFS($F$5:$F$1004,$C$5:$C$1004,C457,$E$5:$E$1004,"Entrada",$A$5:$A$1004,"&lt;="&amp;A457)-SUMIFS($F$5:$F$1004,$C$5:$C$1004,C457,$E$5:$E$1004,"Saída",$A$5:$A$1004,"&lt;="&amp;A457),""))</f>
        <v/>
      </c>
      <c r="J457" s="68">
        <f>IF(A457="","",A457+ROW()/100000)</f>
        <v/>
      </c>
    </row>
    <row r="458">
      <c r="A458" s="65" t="n"/>
      <c r="B458" s="58" t="n"/>
      <c r="C458" s="58" t="n"/>
      <c r="D458" s="66">
        <f>IF(C458="","",IFERROR(INDEX('Produtos'!$B$5:$B$204,MATCH(C458,'Produtos'!$A$5:$A$204,0)),"Código não cadastrado"))</f>
        <v/>
      </c>
      <c r="E458" s="58" t="n"/>
      <c r="F458" s="61" t="n"/>
      <c r="G458" s="59" t="n"/>
      <c r="H458" s="59" t="n"/>
      <c r="I458" s="67">
        <f>IF(OR(A458="",C458=""),"",IFERROR(INDEX('Produtos'!$F$5:$F$204,MATCH(C458,'Produtos'!$A$5:$A$204,0))+SUMIFS($F$5:$F$1004,$C$5:$C$1004,C458,$E$5:$E$1004,"Entrada",$A$5:$A$1004,"&lt;="&amp;A458)-SUMIFS($F$5:$F$1004,$C$5:$C$1004,C458,$E$5:$E$1004,"Saída",$A$5:$A$1004,"&lt;="&amp;A458),""))</f>
        <v/>
      </c>
      <c r="J458" s="68">
        <f>IF(A458="","",A458+ROW()/100000)</f>
        <v/>
      </c>
    </row>
    <row r="459">
      <c r="A459" s="65" t="n"/>
      <c r="B459" s="58" t="n"/>
      <c r="C459" s="58" t="n"/>
      <c r="D459" s="66">
        <f>IF(C459="","",IFERROR(INDEX('Produtos'!$B$5:$B$204,MATCH(C459,'Produtos'!$A$5:$A$204,0)),"Código não cadastrado"))</f>
        <v/>
      </c>
      <c r="E459" s="58" t="n"/>
      <c r="F459" s="61" t="n"/>
      <c r="G459" s="59" t="n"/>
      <c r="H459" s="59" t="n"/>
      <c r="I459" s="67">
        <f>IF(OR(A459="",C459=""),"",IFERROR(INDEX('Produtos'!$F$5:$F$204,MATCH(C459,'Produtos'!$A$5:$A$204,0))+SUMIFS($F$5:$F$1004,$C$5:$C$1004,C459,$E$5:$E$1004,"Entrada",$A$5:$A$1004,"&lt;="&amp;A459)-SUMIFS($F$5:$F$1004,$C$5:$C$1004,C459,$E$5:$E$1004,"Saída",$A$5:$A$1004,"&lt;="&amp;A459),""))</f>
        <v/>
      </c>
      <c r="J459" s="68">
        <f>IF(A459="","",A459+ROW()/100000)</f>
        <v/>
      </c>
    </row>
    <row r="460">
      <c r="A460" s="65" t="n"/>
      <c r="B460" s="58" t="n"/>
      <c r="C460" s="58" t="n"/>
      <c r="D460" s="66">
        <f>IF(C460="","",IFERROR(INDEX('Produtos'!$B$5:$B$204,MATCH(C460,'Produtos'!$A$5:$A$204,0)),"Código não cadastrado"))</f>
        <v/>
      </c>
      <c r="E460" s="58" t="n"/>
      <c r="F460" s="61" t="n"/>
      <c r="G460" s="59" t="n"/>
      <c r="H460" s="59" t="n"/>
      <c r="I460" s="67">
        <f>IF(OR(A460="",C460=""),"",IFERROR(INDEX('Produtos'!$F$5:$F$204,MATCH(C460,'Produtos'!$A$5:$A$204,0))+SUMIFS($F$5:$F$1004,$C$5:$C$1004,C460,$E$5:$E$1004,"Entrada",$A$5:$A$1004,"&lt;="&amp;A460)-SUMIFS($F$5:$F$1004,$C$5:$C$1004,C460,$E$5:$E$1004,"Saída",$A$5:$A$1004,"&lt;="&amp;A460),""))</f>
        <v/>
      </c>
      <c r="J460" s="68">
        <f>IF(A460="","",A460+ROW()/100000)</f>
        <v/>
      </c>
    </row>
    <row r="461">
      <c r="A461" s="65" t="n"/>
      <c r="B461" s="58" t="n"/>
      <c r="C461" s="58" t="n"/>
      <c r="D461" s="66">
        <f>IF(C461="","",IFERROR(INDEX('Produtos'!$B$5:$B$204,MATCH(C461,'Produtos'!$A$5:$A$204,0)),"Código não cadastrado"))</f>
        <v/>
      </c>
      <c r="E461" s="58" t="n"/>
      <c r="F461" s="61" t="n"/>
      <c r="G461" s="59" t="n"/>
      <c r="H461" s="59" t="n"/>
      <c r="I461" s="67">
        <f>IF(OR(A461="",C461=""),"",IFERROR(INDEX('Produtos'!$F$5:$F$204,MATCH(C461,'Produtos'!$A$5:$A$204,0))+SUMIFS($F$5:$F$1004,$C$5:$C$1004,C461,$E$5:$E$1004,"Entrada",$A$5:$A$1004,"&lt;="&amp;A461)-SUMIFS($F$5:$F$1004,$C$5:$C$1004,C461,$E$5:$E$1004,"Saída",$A$5:$A$1004,"&lt;="&amp;A461),""))</f>
        <v/>
      </c>
      <c r="J461" s="68">
        <f>IF(A461="","",A461+ROW()/100000)</f>
        <v/>
      </c>
    </row>
    <row r="462">
      <c r="A462" s="65" t="n"/>
      <c r="B462" s="58" t="n"/>
      <c r="C462" s="58" t="n"/>
      <c r="D462" s="66">
        <f>IF(C462="","",IFERROR(INDEX('Produtos'!$B$5:$B$204,MATCH(C462,'Produtos'!$A$5:$A$204,0)),"Código não cadastrado"))</f>
        <v/>
      </c>
      <c r="E462" s="58" t="n"/>
      <c r="F462" s="61" t="n"/>
      <c r="G462" s="59" t="n"/>
      <c r="H462" s="59" t="n"/>
      <c r="I462" s="67">
        <f>IF(OR(A462="",C462=""),"",IFERROR(INDEX('Produtos'!$F$5:$F$204,MATCH(C462,'Produtos'!$A$5:$A$204,0))+SUMIFS($F$5:$F$1004,$C$5:$C$1004,C462,$E$5:$E$1004,"Entrada",$A$5:$A$1004,"&lt;="&amp;A462)-SUMIFS($F$5:$F$1004,$C$5:$C$1004,C462,$E$5:$E$1004,"Saída",$A$5:$A$1004,"&lt;="&amp;A462),""))</f>
        <v/>
      </c>
      <c r="J462" s="68">
        <f>IF(A462="","",A462+ROW()/100000)</f>
        <v/>
      </c>
    </row>
    <row r="463">
      <c r="A463" s="65" t="n"/>
      <c r="B463" s="58" t="n"/>
      <c r="C463" s="58" t="n"/>
      <c r="D463" s="66">
        <f>IF(C463="","",IFERROR(INDEX('Produtos'!$B$5:$B$204,MATCH(C463,'Produtos'!$A$5:$A$204,0)),"Código não cadastrado"))</f>
        <v/>
      </c>
      <c r="E463" s="58" t="n"/>
      <c r="F463" s="61" t="n"/>
      <c r="G463" s="59" t="n"/>
      <c r="H463" s="59" t="n"/>
      <c r="I463" s="67">
        <f>IF(OR(A463="",C463=""),"",IFERROR(INDEX('Produtos'!$F$5:$F$204,MATCH(C463,'Produtos'!$A$5:$A$204,0))+SUMIFS($F$5:$F$1004,$C$5:$C$1004,C463,$E$5:$E$1004,"Entrada",$A$5:$A$1004,"&lt;="&amp;A463)-SUMIFS($F$5:$F$1004,$C$5:$C$1004,C463,$E$5:$E$1004,"Saída",$A$5:$A$1004,"&lt;="&amp;A463),""))</f>
        <v/>
      </c>
      <c r="J463" s="68">
        <f>IF(A463="","",A463+ROW()/100000)</f>
        <v/>
      </c>
    </row>
    <row r="464">
      <c r="A464" s="65" t="n"/>
      <c r="B464" s="58" t="n"/>
      <c r="C464" s="58" t="n"/>
      <c r="D464" s="66">
        <f>IF(C464="","",IFERROR(INDEX('Produtos'!$B$5:$B$204,MATCH(C464,'Produtos'!$A$5:$A$204,0)),"Código não cadastrado"))</f>
        <v/>
      </c>
      <c r="E464" s="58" t="n"/>
      <c r="F464" s="61" t="n"/>
      <c r="G464" s="59" t="n"/>
      <c r="H464" s="59" t="n"/>
      <c r="I464" s="67">
        <f>IF(OR(A464="",C464=""),"",IFERROR(INDEX('Produtos'!$F$5:$F$204,MATCH(C464,'Produtos'!$A$5:$A$204,0))+SUMIFS($F$5:$F$1004,$C$5:$C$1004,C464,$E$5:$E$1004,"Entrada",$A$5:$A$1004,"&lt;="&amp;A464)-SUMIFS($F$5:$F$1004,$C$5:$C$1004,C464,$E$5:$E$1004,"Saída",$A$5:$A$1004,"&lt;="&amp;A464),""))</f>
        <v/>
      </c>
      <c r="J464" s="68">
        <f>IF(A464="","",A464+ROW()/100000)</f>
        <v/>
      </c>
    </row>
    <row r="465">
      <c r="A465" s="65" t="n"/>
      <c r="B465" s="58" t="n"/>
      <c r="C465" s="58" t="n"/>
      <c r="D465" s="66">
        <f>IF(C465="","",IFERROR(INDEX('Produtos'!$B$5:$B$204,MATCH(C465,'Produtos'!$A$5:$A$204,0)),"Código não cadastrado"))</f>
        <v/>
      </c>
      <c r="E465" s="58" t="n"/>
      <c r="F465" s="61" t="n"/>
      <c r="G465" s="59" t="n"/>
      <c r="H465" s="59" t="n"/>
      <c r="I465" s="67">
        <f>IF(OR(A465="",C465=""),"",IFERROR(INDEX('Produtos'!$F$5:$F$204,MATCH(C465,'Produtos'!$A$5:$A$204,0))+SUMIFS($F$5:$F$1004,$C$5:$C$1004,C465,$E$5:$E$1004,"Entrada",$A$5:$A$1004,"&lt;="&amp;A465)-SUMIFS($F$5:$F$1004,$C$5:$C$1004,C465,$E$5:$E$1004,"Saída",$A$5:$A$1004,"&lt;="&amp;A465),""))</f>
        <v/>
      </c>
      <c r="J465" s="68">
        <f>IF(A465="","",A465+ROW()/100000)</f>
        <v/>
      </c>
    </row>
    <row r="466">
      <c r="A466" s="65" t="n"/>
      <c r="B466" s="58" t="n"/>
      <c r="C466" s="58" t="n"/>
      <c r="D466" s="66">
        <f>IF(C466="","",IFERROR(INDEX('Produtos'!$B$5:$B$204,MATCH(C466,'Produtos'!$A$5:$A$204,0)),"Código não cadastrado"))</f>
        <v/>
      </c>
      <c r="E466" s="58" t="n"/>
      <c r="F466" s="61" t="n"/>
      <c r="G466" s="59" t="n"/>
      <c r="H466" s="59" t="n"/>
      <c r="I466" s="67">
        <f>IF(OR(A466="",C466=""),"",IFERROR(INDEX('Produtos'!$F$5:$F$204,MATCH(C466,'Produtos'!$A$5:$A$204,0))+SUMIFS($F$5:$F$1004,$C$5:$C$1004,C466,$E$5:$E$1004,"Entrada",$A$5:$A$1004,"&lt;="&amp;A466)-SUMIFS($F$5:$F$1004,$C$5:$C$1004,C466,$E$5:$E$1004,"Saída",$A$5:$A$1004,"&lt;="&amp;A466),""))</f>
        <v/>
      </c>
      <c r="J466" s="68">
        <f>IF(A466="","",A466+ROW()/100000)</f>
        <v/>
      </c>
    </row>
    <row r="467">
      <c r="A467" s="65" t="n"/>
      <c r="B467" s="58" t="n"/>
      <c r="C467" s="58" t="n"/>
      <c r="D467" s="66">
        <f>IF(C467="","",IFERROR(INDEX('Produtos'!$B$5:$B$204,MATCH(C467,'Produtos'!$A$5:$A$204,0)),"Código não cadastrado"))</f>
        <v/>
      </c>
      <c r="E467" s="58" t="n"/>
      <c r="F467" s="61" t="n"/>
      <c r="G467" s="59" t="n"/>
      <c r="H467" s="59" t="n"/>
      <c r="I467" s="67">
        <f>IF(OR(A467="",C467=""),"",IFERROR(INDEX('Produtos'!$F$5:$F$204,MATCH(C467,'Produtos'!$A$5:$A$204,0))+SUMIFS($F$5:$F$1004,$C$5:$C$1004,C467,$E$5:$E$1004,"Entrada",$A$5:$A$1004,"&lt;="&amp;A467)-SUMIFS($F$5:$F$1004,$C$5:$C$1004,C467,$E$5:$E$1004,"Saída",$A$5:$A$1004,"&lt;="&amp;A467),""))</f>
        <v/>
      </c>
      <c r="J467" s="68">
        <f>IF(A467="","",A467+ROW()/100000)</f>
        <v/>
      </c>
    </row>
    <row r="468">
      <c r="A468" s="65" t="n"/>
      <c r="B468" s="58" t="n"/>
      <c r="C468" s="58" t="n"/>
      <c r="D468" s="66">
        <f>IF(C468="","",IFERROR(INDEX('Produtos'!$B$5:$B$204,MATCH(C468,'Produtos'!$A$5:$A$204,0)),"Código não cadastrado"))</f>
        <v/>
      </c>
      <c r="E468" s="58" t="n"/>
      <c r="F468" s="61" t="n"/>
      <c r="G468" s="59" t="n"/>
      <c r="H468" s="59" t="n"/>
      <c r="I468" s="67">
        <f>IF(OR(A468="",C468=""),"",IFERROR(INDEX('Produtos'!$F$5:$F$204,MATCH(C468,'Produtos'!$A$5:$A$204,0))+SUMIFS($F$5:$F$1004,$C$5:$C$1004,C468,$E$5:$E$1004,"Entrada",$A$5:$A$1004,"&lt;="&amp;A468)-SUMIFS($F$5:$F$1004,$C$5:$C$1004,C468,$E$5:$E$1004,"Saída",$A$5:$A$1004,"&lt;="&amp;A468),""))</f>
        <v/>
      </c>
      <c r="J468" s="68">
        <f>IF(A468="","",A468+ROW()/100000)</f>
        <v/>
      </c>
    </row>
    <row r="469">
      <c r="A469" s="65" t="n"/>
      <c r="B469" s="58" t="n"/>
      <c r="C469" s="58" t="n"/>
      <c r="D469" s="66">
        <f>IF(C469="","",IFERROR(INDEX('Produtos'!$B$5:$B$204,MATCH(C469,'Produtos'!$A$5:$A$204,0)),"Código não cadastrado"))</f>
        <v/>
      </c>
      <c r="E469" s="58" t="n"/>
      <c r="F469" s="61" t="n"/>
      <c r="G469" s="59" t="n"/>
      <c r="H469" s="59" t="n"/>
      <c r="I469" s="67">
        <f>IF(OR(A469="",C469=""),"",IFERROR(INDEX('Produtos'!$F$5:$F$204,MATCH(C469,'Produtos'!$A$5:$A$204,0))+SUMIFS($F$5:$F$1004,$C$5:$C$1004,C469,$E$5:$E$1004,"Entrada",$A$5:$A$1004,"&lt;="&amp;A469)-SUMIFS($F$5:$F$1004,$C$5:$C$1004,C469,$E$5:$E$1004,"Saída",$A$5:$A$1004,"&lt;="&amp;A469),""))</f>
        <v/>
      </c>
      <c r="J469" s="68">
        <f>IF(A469="","",A469+ROW()/100000)</f>
        <v/>
      </c>
    </row>
    <row r="470">
      <c r="A470" s="65" t="n"/>
      <c r="B470" s="58" t="n"/>
      <c r="C470" s="58" t="n"/>
      <c r="D470" s="66">
        <f>IF(C470="","",IFERROR(INDEX('Produtos'!$B$5:$B$204,MATCH(C470,'Produtos'!$A$5:$A$204,0)),"Código não cadastrado"))</f>
        <v/>
      </c>
      <c r="E470" s="58" t="n"/>
      <c r="F470" s="61" t="n"/>
      <c r="G470" s="59" t="n"/>
      <c r="H470" s="59" t="n"/>
      <c r="I470" s="67">
        <f>IF(OR(A470="",C470=""),"",IFERROR(INDEX('Produtos'!$F$5:$F$204,MATCH(C470,'Produtos'!$A$5:$A$204,0))+SUMIFS($F$5:$F$1004,$C$5:$C$1004,C470,$E$5:$E$1004,"Entrada",$A$5:$A$1004,"&lt;="&amp;A470)-SUMIFS($F$5:$F$1004,$C$5:$C$1004,C470,$E$5:$E$1004,"Saída",$A$5:$A$1004,"&lt;="&amp;A470),""))</f>
        <v/>
      </c>
      <c r="J470" s="68">
        <f>IF(A470="","",A470+ROW()/100000)</f>
        <v/>
      </c>
    </row>
    <row r="471">
      <c r="A471" s="65" t="n"/>
      <c r="B471" s="58" t="n"/>
      <c r="C471" s="58" t="n"/>
      <c r="D471" s="66">
        <f>IF(C471="","",IFERROR(INDEX('Produtos'!$B$5:$B$204,MATCH(C471,'Produtos'!$A$5:$A$204,0)),"Código não cadastrado"))</f>
        <v/>
      </c>
      <c r="E471" s="58" t="n"/>
      <c r="F471" s="61" t="n"/>
      <c r="G471" s="59" t="n"/>
      <c r="H471" s="59" t="n"/>
      <c r="I471" s="67">
        <f>IF(OR(A471="",C471=""),"",IFERROR(INDEX('Produtos'!$F$5:$F$204,MATCH(C471,'Produtos'!$A$5:$A$204,0))+SUMIFS($F$5:$F$1004,$C$5:$C$1004,C471,$E$5:$E$1004,"Entrada",$A$5:$A$1004,"&lt;="&amp;A471)-SUMIFS($F$5:$F$1004,$C$5:$C$1004,C471,$E$5:$E$1004,"Saída",$A$5:$A$1004,"&lt;="&amp;A471),""))</f>
        <v/>
      </c>
      <c r="J471" s="68">
        <f>IF(A471="","",A471+ROW()/100000)</f>
        <v/>
      </c>
    </row>
    <row r="472">
      <c r="A472" s="65" t="n"/>
      <c r="B472" s="58" t="n"/>
      <c r="C472" s="58" t="n"/>
      <c r="D472" s="66">
        <f>IF(C472="","",IFERROR(INDEX('Produtos'!$B$5:$B$204,MATCH(C472,'Produtos'!$A$5:$A$204,0)),"Código não cadastrado"))</f>
        <v/>
      </c>
      <c r="E472" s="58" t="n"/>
      <c r="F472" s="61" t="n"/>
      <c r="G472" s="59" t="n"/>
      <c r="H472" s="59" t="n"/>
      <c r="I472" s="67">
        <f>IF(OR(A472="",C472=""),"",IFERROR(INDEX('Produtos'!$F$5:$F$204,MATCH(C472,'Produtos'!$A$5:$A$204,0))+SUMIFS($F$5:$F$1004,$C$5:$C$1004,C472,$E$5:$E$1004,"Entrada",$A$5:$A$1004,"&lt;="&amp;A472)-SUMIFS($F$5:$F$1004,$C$5:$C$1004,C472,$E$5:$E$1004,"Saída",$A$5:$A$1004,"&lt;="&amp;A472),""))</f>
        <v/>
      </c>
      <c r="J472" s="68">
        <f>IF(A472="","",A472+ROW()/100000)</f>
        <v/>
      </c>
    </row>
    <row r="473">
      <c r="A473" s="65" t="n"/>
      <c r="B473" s="58" t="n"/>
      <c r="C473" s="58" t="n"/>
      <c r="D473" s="66">
        <f>IF(C473="","",IFERROR(INDEX('Produtos'!$B$5:$B$204,MATCH(C473,'Produtos'!$A$5:$A$204,0)),"Código não cadastrado"))</f>
        <v/>
      </c>
      <c r="E473" s="58" t="n"/>
      <c r="F473" s="61" t="n"/>
      <c r="G473" s="59" t="n"/>
      <c r="H473" s="59" t="n"/>
      <c r="I473" s="67">
        <f>IF(OR(A473="",C473=""),"",IFERROR(INDEX('Produtos'!$F$5:$F$204,MATCH(C473,'Produtos'!$A$5:$A$204,0))+SUMIFS($F$5:$F$1004,$C$5:$C$1004,C473,$E$5:$E$1004,"Entrada",$A$5:$A$1004,"&lt;="&amp;A473)-SUMIFS($F$5:$F$1004,$C$5:$C$1004,C473,$E$5:$E$1004,"Saída",$A$5:$A$1004,"&lt;="&amp;A473),""))</f>
        <v/>
      </c>
      <c r="J473" s="68">
        <f>IF(A473="","",A473+ROW()/100000)</f>
        <v/>
      </c>
    </row>
    <row r="474">
      <c r="A474" s="65" t="n"/>
      <c r="B474" s="58" t="n"/>
      <c r="C474" s="58" t="n"/>
      <c r="D474" s="66">
        <f>IF(C474="","",IFERROR(INDEX('Produtos'!$B$5:$B$204,MATCH(C474,'Produtos'!$A$5:$A$204,0)),"Código não cadastrado"))</f>
        <v/>
      </c>
      <c r="E474" s="58" t="n"/>
      <c r="F474" s="61" t="n"/>
      <c r="G474" s="59" t="n"/>
      <c r="H474" s="59" t="n"/>
      <c r="I474" s="67">
        <f>IF(OR(A474="",C474=""),"",IFERROR(INDEX('Produtos'!$F$5:$F$204,MATCH(C474,'Produtos'!$A$5:$A$204,0))+SUMIFS($F$5:$F$1004,$C$5:$C$1004,C474,$E$5:$E$1004,"Entrada",$A$5:$A$1004,"&lt;="&amp;A474)-SUMIFS($F$5:$F$1004,$C$5:$C$1004,C474,$E$5:$E$1004,"Saída",$A$5:$A$1004,"&lt;="&amp;A474),""))</f>
        <v/>
      </c>
      <c r="J474" s="68">
        <f>IF(A474="","",A474+ROW()/100000)</f>
        <v/>
      </c>
    </row>
    <row r="475">
      <c r="A475" s="65" t="n"/>
      <c r="B475" s="58" t="n"/>
      <c r="C475" s="58" t="n"/>
      <c r="D475" s="66">
        <f>IF(C475="","",IFERROR(INDEX('Produtos'!$B$5:$B$204,MATCH(C475,'Produtos'!$A$5:$A$204,0)),"Código não cadastrado"))</f>
        <v/>
      </c>
      <c r="E475" s="58" t="n"/>
      <c r="F475" s="61" t="n"/>
      <c r="G475" s="59" t="n"/>
      <c r="H475" s="59" t="n"/>
      <c r="I475" s="67">
        <f>IF(OR(A475="",C475=""),"",IFERROR(INDEX('Produtos'!$F$5:$F$204,MATCH(C475,'Produtos'!$A$5:$A$204,0))+SUMIFS($F$5:$F$1004,$C$5:$C$1004,C475,$E$5:$E$1004,"Entrada",$A$5:$A$1004,"&lt;="&amp;A475)-SUMIFS($F$5:$F$1004,$C$5:$C$1004,C475,$E$5:$E$1004,"Saída",$A$5:$A$1004,"&lt;="&amp;A475),""))</f>
        <v/>
      </c>
      <c r="J475" s="68">
        <f>IF(A475="","",A475+ROW()/100000)</f>
        <v/>
      </c>
    </row>
    <row r="476">
      <c r="A476" s="65" t="n"/>
      <c r="B476" s="58" t="n"/>
      <c r="C476" s="58" t="n"/>
      <c r="D476" s="66">
        <f>IF(C476="","",IFERROR(INDEX('Produtos'!$B$5:$B$204,MATCH(C476,'Produtos'!$A$5:$A$204,0)),"Código não cadastrado"))</f>
        <v/>
      </c>
      <c r="E476" s="58" t="n"/>
      <c r="F476" s="61" t="n"/>
      <c r="G476" s="59" t="n"/>
      <c r="H476" s="59" t="n"/>
      <c r="I476" s="67">
        <f>IF(OR(A476="",C476=""),"",IFERROR(INDEX('Produtos'!$F$5:$F$204,MATCH(C476,'Produtos'!$A$5:$A$204,0))+SUMIFS($F$5:$F$1004,$C$5:$C$1004,C476,$E$5:$E$1004,"Entrada",$A$5:$A$1004,"&lt;="&amp;A476)-SUMIFS($F$5:$F$1004,$C$5:$C$1004,C476,$E$5:$E$1004,"Saída",$A$5:$A$1004,"&lt;="&amp;A476),""))</f>
        <v/>
      </c>
      <c r="J476" s="68">
        <f>IF(A476="","",A476+ROW()/100000)</f>
        <v/>
      </c>
    </row>
    <row r="477">
      <c r="A477" s="65" t="n"/>
      <c r="B477" s="58" t="n"/>
      <c r="C477" s="58" t="n"/>
      <c r="D477" s="66">
        <f>IF(C477="","",IFERROR(INDEX('Produtos'!$B$5:$B$204,MATCH(C477,'Produtos'!$A$5:$A$204,0)),"Código não cadastrado"))</f>
        <v/>
      </c>
      <c r="E477" s="58" t="n"/>
      <c r="F477" s="61" t="n"/>
      <c r="G477" s="59" t="n"/>
      <c r="H477" s="59" t="n"/>
      <c r="I477" s="67">
        <f>IF(OR(A477="",C477=""),"",IFERROR(INDEX('Produtos'!$F$5:$F$204,MATCH(C477,'Produtos'!$A$5:$A$204,0))+SUMIFS($F$5:$F$1004,$C$5:$C$1004,C477,$E$5:$E$1004,"Entrada",$A$5:$A$1004,"&lt;="&amp;A477)-SUMIFS($F$5:$F$1004,$C$5:$C$1004,C477,$E$5:$E$1004,"Saída",$A$5:$A$1004,"&lt;="&amp;A477),""))</f>
        <v/>
      </c>
      <c r="J477" s="68">
        <f>IF(A477="","",A477+ROW()/100000)</f>
        <v/>
      </c>
    </row>
    <row r="478">
      <c r="A478" s="65" t="n"/>
      <c r="B478" s="58" t="n"/>
      <c r="C478" s="58" t="n"/>
      <c r="D478" s="66">
        <f>IF(C478="","",IFERROR(INDEX('Produtos'!$B$5:$B$204,MATCH(C478,'Produtos'!$A$5:$A$204,0)),"Código não cadastrado"))</f>
        <v/>
      </c>
      <c r="E478" s="58" t="n"/>
      <c r="F478" s="61" t="n"/>
      <c r="G478" s="59" t="n"/>
      <c r="H478" s="59" t="n"/>
      <c r="I478" s="67">
        <f>IF(OR(A478="",C478=""),"",IFERROR(INDEX('Produtos'!$F$5:$F$204,MATCH(C478,'Produtos'!$A$5:$A$204,0))+SUMIFS($F$5:$F$1004,$C$5:$C$1004,C478,$E$5:$E$1004,"Entrada",$A$5:$A$1004,"&lt;="&amp;A478)-SUMIFS($F$5:$F$1004,$C$5:$C$1004,C478,$E$5:$E$1004,"Saída",$A$5:$A$1004,"&lt;="&amp;A478),""))</f>
        <v/>
      </c>
      <c r="J478" s="68">
        <f>IF(A478="","",A478+ROW()/100000)</f>
        <v/>
      </c>
    </row>
    <row r="479">
      <c r="A479" s="65" t="n"/>
      <c r="B479" s="58" t="n"/>
      <c r="C479" s="58" t="n"/>
      <c r="D479" s="66">
        <f>IF(C479="","",IFERROR(INDEX('Produtos'!$B$5:$B$204,MATCH(C479,'Produtos'!$A$5:$A$204,0)),"Código não cadastrado"))</f>
        <v/>
      </c>
      <c r="E479" s="58" t="n"/>
      <c r="F479" s="61" t="n"/>
      <c r="G479" s="59" t="n"/>
      <c r="H479" s="59" t="n"/>
      <c r="I479" s="67">
        <f>IF(OR(A479="",C479=""),"",IFERROR(INDEX('Produtos'!$F$5:$F$204,MATCH(C479,'Produtos'!$A$5:$A$204,0))+SUMIFS($F$5:$F$1004,$C$5:$C$1004,C479,$E$5:$E$1004,"Entrada",$A$5:$A$1004,"&lt;="&amp;A479)-SUMIFS($F$5:$F$1004,$C$5:$C$1004,C479,$E$5:$E$1004,"Saída",$A$5:$A$1004,"&lt;="&amp;A479),""))</f>
        <v/>
      </c>
      <c r="J479" s="68">
        <f>IF(A479="","",A479+ROW()/100000)</f>
        <v/>
      </c>
    </row>
    <row r="480">
      <c r="A480" s="65" t="n"/>
      <c r="B480" s="58" t="n"/>
      <c r="C480" s="58" t="n"/>
      <c r="D480" s="66">
        <f>IF(C480="","",IFERROR(INDEX('Produtos'!$B$5:$B$204,MATCH(C480,'Produtos'!$A$5:$A$204,0)),"Código não cadastrado"))</f>
        <v/>
      </c>
      <c r="E480" s="58" t="n"/>
      <c r="F480" s="61" t="n"/>
      <c r="G480" s="59" t="n"/>
      <c r="H480" s="59" t="n"/>
      <c r="I480" s="67">
        <f>IF(OR(A480="",C480=""),"",IFERROR(INDEX('Produtos'!$F$5:$F$204,MATCH(C480,'Produtos'!$A$5:$A$204,0))+SUMIFS($F$5:$F$1004,$C$5:$C$1004,C480,$E$5:$E$1004,"Entrada",$A$5:$A$1004,"&lt;="&amp;A480)-SUMIFS($F$5:$F$1004,$C$5:$C$1004,C480,$E$5:$E$1004,"Saída",$A$5:$A$1004,"&lt;="&amp;A480),""))</f>
        <v/>
      </c>
      <c r="J480" s="68">
        <f>IF(A480="","",A480+ROW()/100000)</f>
        <v/>
      </c>
    </row>
    <row r="481">
      <c r="A481" s="65" t="n"/>
      <c r="B481" s="58" t="n"/>
      <c r="C481" s="58" t="n"/>
      <c r="D481" s="66">
        <f>IF(C481="","",IFERROR(INDEX('Produtos'!$B$5:$B$204,MATCH(C481,'Produtos'!$A$5:$A$204,0)),"Código não cadastrado"))</f>
        <v/>
      </c>
      <c r="E481" s="58" t="n"/>
      <c r="F481" s="61" t="n"/>
      <c r="G481" s="59" t="n"/>
      <c r="H481" s="59" t="n"/>
      <c r="I481" s="67">
        <f>IF(OR(A481="",C481=""),"",IFERROR(INDEX('Produtos'!$F$5:$F$204,MATCH(C481,'Produtos'!$A$5:$A$204,0))+SUMIFS($F$5:$F$1004,$C$5:$C$1004,C481,$E$5:$E$1004,"Entrada",$A$5:$A$1004,"&lt;="&amp;A481)-SUMIFS($F$5:$F$1004,$C$5:$C$1004,C481,$E$5:$E$1004,"Saída",$A$5:$A$1004,"&lt;="&amp;A481),""))</f>
        <v/>
      </c>
      <c r="J481" s="68">
        <f>IF(A481="","",A481+ROW()/100000)</f>
        <v/>
      </c>
    </row>
    <row r="482">
      <c r="A482" s="65" t="n"/>
      <c r="B482" s="58" t="n"/>
      <c r="C482" s="58" t="n"/>
      <c r="D482" s="66">
        <f>IF(C482="","",IFERROR(INDEX('Produtos'!$B$5:$B$204,MATCH(C482,'Produtos'!$A$5:$A$204,0)),"Código não cadastrado"))</f>
        <v/>
      </c>
      <c r="E482" s="58" t="n"/>
      <c r="F482" s="61" t="n"/>
      <c r="G482" s="59" t="n"/>
      <c r="H482" s="59" t="n"/>
      <c r="I482" s="67">
        <f>IF(OR(A482="",C482=""),"",IFERROR(INDEX('Produtos'!$F$5:$F$204,MATCH(C482,'Produtos'!$A$5:$A$204,0))+SUMIFS($F$5:$F$1004,$C$5:$C$1004,C482,$E$5:$E$1004,"Entrada",$A$5:$A$1004,"&lt;="&amp;A482)-SUMIFS($F$5:$F$1004,$C$5:$C$1004,C482,$E$5:$E$1004,"Saída",$A$5:$A$1004,"&lt;="&amp;A482),""))</f>
        <v/>
      </c>
      <c r="J482" s="68">
        <f>IF(A482="","",A482+ROW()/100000)</f>
        <v/>
      </c>
    </row>
    <row r="483">
      <c r="A483" s="65" t="n"/>
      <c r="B483" s="58" t="n"/>
      <c r="C483" s="58" t="n"/>
      <c r="D483" s="66">
        <f>IF(C483="","",IFERROR(INDEX('Produtos'!$B$5:$B$204,MATCH(C483,'Produtos'!$A$5:$A$204,0)),"Código não cadastrado"))</f>
        <v/>
      </c>
      <c r="E483" s="58" t="n"/>
      <c r="F483" s="61" t="n"/>
      <c r="G483" s="59" t="n"/>
      <c r="H483" s="59" t="n"/>
      <c r="I483" s="67">
        <f>IF(OR(A483="",C483=""),"",IFERROR(INDEX('Produtos'!$F$5:$F$204,MATCH(C483,'Produtos'!$A$5:$A$204,0))+SUMIFS($F$5:$F$1004,$C$5:$C$1004,C483,$E$5:$E$1004,"Entrada",$A$5:$A$1004,"&lt;="&amp;A483)-SUMIFS($F$5:$F$1004,$C$5:$C$1004,C483,$E$5:$E$1004,"Saída",$A$5:$A$1004,"&lt;="&amp;A483),""))</f>
        <v/>
      </c>
      <c r="J483" s="68">
        <f>IF(A483="","",A483+ROW()/100000)</f>
        <v/>
      </c>
    </row>
    <row r="484">
      <c r="A484" s="65" t="n"/>
      <c r="B484" s="58" t="n"/>
      <c r="C484" s="58" t="n"/>
      <c r="D484" s="66">
        <f>IF(C484="","",IFERROR(INDEX('Produtos'!$B$5:$B$204,MATCH(C484,'Produtos'!$A$5:$A$204,0)),"Código não cadastrado"))</f>
        <v/>
      </c>
      <c r="E484" s="58" t="n"/>
      <c r="F484" s="61" t="n"/>
      <c r="G484" s="59" t="n"/>
      <c r="H484" s="59" t="n"/>
      <c r="I484" s="67">
        <f>IF(OR(A484="",C484=""),"",IFERROR(INDEX('Produtos'!$F$5:$F$204,MATCH(C484,'Produtos'!$A$5:$A$204,0))+SUMIFS($F$5:$F$1004,$C$5:$C$1004,C484,$E$5:$E$1004,"Entrada",$A$5:$A$1004,"&lt;="&amp;A484)-SUMIFS($F$5:$F$1004,$C$5:$C$1004,C484,$E$5:$E$1004,"Saída",$A$5:$A$1004,"&lt;="&amp;A484),""))</f>
        <v/>
      </c>
      <c r="J484" s="68">
        <f>IF(A484="","",A484+ROW()/100000)</f>
        <v/>
      </c>
    </row>
    <row r="485">
      <c r="A485" s="65" t="n"/>
      <c r="B485" s="58" t="n"/>
      <c r="C485" s="58" t="n"/>
      <c r="D485" s="66">
        <f>IF(C485="","",IFERROR(INDEX('Produtos'!$B$5:$B$204,MATCH(C485,'Produtos'!$A$5:$A$204,0)),"Código não cadastrado"))</f>
        <v/>
      </c>
      <c r="E485" s="58" t="n"/>
      <c r="F485" s="61" t="n"/>
      <c r="G485" s="59" t="n"/>
      <c r="H485" s="59" t="n"/>
      <c r="I485" s="67">
        <f>IF(OR(A485="",C485=""),"",IFERROR(INDEX('Produtos'!$F$5:$F$204,MATCH(C485,'Produtos'!$A$5:$A$204,0))+SUMIFS($F$5:$F$1004,$C$5:$C$1004,C485,$E$5:$E$1004,"Entrada",$A$5:$A$1004,"&lt;="&amp;A485)-SUMIFS($F$5:$F$1004,$C$5:$C$1004,C485,$E$5:$E$1004,"Saída",$A$5:$A$1004,"&lt;="&amp;A485),""))</f>
        <v/>
      </c>
      <c r="J485" s="68">
        <f>IF(A485="","",A485+ROW()/100000)</f>
        <v/>
      </c>
    </row>
    <row r="486">
      <c r="A486" s="65" t="n"/>
      <c r="B486" s="58" t="n"/>
      <c r="C486" s="58" t="n"/>
      <c r="D486" s="66">
        <f>IF(C486="","",IFERROR(INDEX('Produtos'!$B$5:$B$204,MATCH(C486,'Produtos'!$A$5:$A$204,0)),"Código não cadastrado"))</f>
        <v/>
      </c>
      <c r="E486" s="58" t="n"/>
      <c r="F486" s="61" t="n"/>
      <c r="G486" s="59" t="n"/>
      <c r="H486" s="59" t="n"/>
      <c r="I486" s="67">
        <f>IF(OR(A486="",C486=""),"",IFERROR(INDEX('Produtos'!$F$5:$F$204,MATCH(C486,'Produtos'!$A$5:$A$204,0))+SUMIFS($F$5:$F$1004,$C$5:$C$1004,C486,$E$5:$E$1004,"Entrada",$A$5:$A$1004,"&lt;="&amp;A486)-SUMIFS($F$5:$F$1004,$C$5:$C$1004,C486,$E$5:$E$1004,"Saída",$A$5:$A$1004,"&lt;="&amp;A486),""))</f>
        <v/>
      </c>
      <c r="J486" s="68">
        <f>IF(A486="","",A486+ROW()/100000)</f>
        <v/>
      </c>
    </row>
    <row r="487">
      <c r="A487" s="65" t="n"/>
      <c r="B487" s="58" t="n"/>
      <c r="C487" s="58" t="n"/>
      <c r="D487" s="66">
        <f>IF(C487="","",IFERROR(INDEX('Produtos'!$B$5:$B$204,MATCH(C487,'Produtos'!$A$5:$A$204,0)),"Código não cadastrado"))</f>
        <v/>
      </c>
      <c r="E487" s="58" t="n"/>
      <c r="F487" s="61" t="n"/>
      <c r="G487" s="59" t="n"/>
      <c r="H487" s="59" t="n"/>
      <c r="I487" s="67">
        <f>IF(OR(A487="",C487=""),"",IFERROR(INDEX('Produtos'!$F$5:$F$204,MATCH(C487,'Produtos'!$A$5:$A$204,0))+SUMIFS($F$5:$F$1004,$C$5:$C$1004,C487,$E$5:$E$1004,"Entrada",$A$5:$A$1004,"&lt;="&amp;A487)-SUMIFS($F$5:$F$1004,$C$5:$C$1004,C487,$E$5:$E$1004,"Saída",$A$5:$A$1004,"&lt;="&amp;A487),""))</f>
        <v/>
      </c>
      <c r="J487" s="68">
        <f>IF(A487="","",A487+ROW()/100000)</f>
        <v/>
      </c>
    </row>
    <row r="488">
      <c r="A488" s="65" t="n"/>
      <c r="B488" s="58" t="n"/>
      <c r="C488" s="58" t="n"/>
      <c r="D488" s="66">
        <f>IF(C488="","",IFERROR(INDEX('Produtos'!$B$5:$B$204,MATCH(C488,'Produtos'!$A$5:$A$204,0)),"Código não cadastrado"))</f>
        <v/>
      </c>
      <c r="E488" s="58" t="n"/>
      <c r="F488" s="61" t="n"/>
      <c r="G488" s="59" t="n"/>
      <c r="H488" s="59" t="n"/>
      <c r="I488" s="67">
        <f>IF(OR(A488="",C488=""),"",IFERROR(INDEX('Produtos'!$F$5:$F$204,MATCH(C488,'Produtos'!$A$5:$A$204,0))+SUMIFS($F$5:$F$1004,$C$5:$C$1004,C488,$E$5:$E$1004,"Entrada",$A$5:$A$1004,"&lt;="&amp;A488)-SUMIFS($F$5:$F$1004,$C$5:$C$1004,C488,$E$5:$E$1004,"Saída",$A$5:$A$1004,"&lt;="&amp;A488),""))</f>
        <v/>
      </c>
      <c r="J488" s="68">
        <f>IF(A488="","",A488+ROW()/100000)</f>
        <v/>
      </c>
    </row>
    <row r="489">
      <c r="A489" s="65" t="n"/>
      <c r="B489" s="58" t="n"/>
      <c r="C489" s="58" t="n"/>
      <c r="D489" s="66">
        <f>IF(C489="","",IFERROR(INDEX('Produtos'!$B$5:$B$204,MATCH(C489,'Produtos'!$A$5:$A$204,0)),"Código não cadastrado"))</f>
        <v/>
      </c>
      <c r="E489" s="58" t="n"/>
      <c r="F489" s="61" t="n"/>
      <c r="G489" s="59" t="n"/>
      <c r="H489" s="59" t="n"/>
      <c r="I489" s="67">
        <f>IF(OR(A489="",C489=""),"",IFERROR(INDEX('Produtos'!$F$5:$F$204,MATCH(C489,'Produtos'!$A$5:$A$204,0))+SUMIFS($F$5:$F$1004,$C$5:$C$1004,C489,$E$5:$E$1004,"Entrada",$A$5:$A$1004,"&lt;="&amp;A489)-SUMIFS($F$5:$F$1004,$C$5:$C$1004,C489,$E$5:$E$1004,"Saída",$A$5:$A$1004,"&lt;="&amp;A489),""))</f>
        <v/>
      </c>
      <c r="J489" s="68">
        <f>IF(A489="","",A489+ROW()/100000)</f>
        <v/>
      </c>
    </row>
    <row r="490">
      <c r="A490" s="65" t="n"/>
      <c r="B490" s="58" t="n"/>
      <c r="C490" s="58" t="n"/>
      <c r="D490" s="66">
        <f>IF(C490="","",IFERROR(INDEX('Produtos'!$B$5:$B$204,MATCH(C490,'Produtos'!$A$5:$A$204,0)),"Código não cadastrado"))</f>
        <v/>
      </c>
      <c r="E490" s="58" t="n"/>
      <c r="F490" s="61" t="n"/>
      <c r="G490" s="59" t="n"/>
      <c r="H490" s="59" t="n"/>
      <c r="I490" s="67">
        <f>IF(OR(A490="",C490=""),"",IFERROR(INDEX('Produtos'!$F$5:$F$204,MATCH(C490,'Produtos'!$A$5:$A$204,0))+SUMIFS($F$5:$F$1004,$C$5:$C$1004,C490,$E$5:$E$1004,"Entrada",$A$5:$A$1004,"&lt;="&amp;A490)-SUMIFS($F$5:$F$1004,$C$5:$C$1004,C490,$E$5:$E$1004,"Saída",$A$5:$A$1004,"&lt;="&amp;A490),""))</f>
        <v/>
      </c>
      <c r="J490" s="68">
        <f>IF(A490="","",A490+ROW()/100000)</f>
        <v/>
      </c>
    </row>
    <row r="491">
      <c r="A491" s="65" t="n"/>
      <c r="B491" s="58" t="n"/>
      <c r="C491" s="58" t="n"/>
      <c r="D491" s="66">
        <f>IF(C491="","",IFERROR(INDEX('Produtos'!$B$5:$B$204,MATCH(C491,'Produtos'!$A$5:$A$204,0)),"Código não cadastrado"))</f>
        <v/>
      </c>
      <c r="E491" s="58" t="n"/>
      <c r="F491" s="61" t="n"/>
      <c r="G491" s="59" t="n"/>
      <c r="H491" s="59" t="n"/>
      <c r="I491" s="67">
        <f>IF(OR(A491="",C491=""),"",IFERROR(INDEX('Produtos'!$F$5:$F$204,MATCH(C491,'Produtos'!$A$5:$A$204,0))+SUMIFS($F$5:$F$1004,$C$5:$C$1004,C491,$E$5:$E$1004,"Entrada",$A$5:$A$1004,"&lt;="&amp;A491)-SUMIFS($F$5:$F$1004,$C$5:$C$1004,C491,$E$5:$E$1004,"Saída",$A$5:$A$1004,"&lt;="&amp;A491),""))</f>
        <v/>
      </c>
      <c r="J491" s="68">
        <f>IF(A491="","",A491+ROW()/100000)</f>
        <v/>
      </c>
    </row>
    <row r="492">
      <c r="A492" s="65" t="n"/>
      <c r="B492" s="58" t="n"/>
      <c r="C492" s="58" t="n"/>
      <c r="D492" s="66">
        <f>IF(C492="","",IFERROR(INDEX('Produtos'!$B$5:$B$204,MATCH(C492,'Produtos'!$A$5:$A$204,0)),"Código não cadastrado"))</f>
        <v/>
      </c>
      <c r="E492" s="58" t="n"/>
      <c r="F492" s="61" t="n"/>
      <c r="G492" s="59" t="n"/>
      <c r="H492" s="59" t="n"/>
      <c r="I492" s="67">
        <f>IF(OR(A492="",C492=""),"",IFERROR(INDEX('Produtos'!$F$5:$F$204,MATCH(C492,'Produtos'!$A$5:$A$204,0))+SUMIFS($F$5:$F$1004,$C$5:$C$1004,C492,$E$5:$E$1004,"Entrada",$A$5:$A$1004,"&lt;="&amp;A492)-SUMIFS($F$5:$F$1004,$C$5:$C$1004,C492,$E$5:$E$1004,"Saída",$A$5:$A$1004,"&lt;="&amp;A492),""))</f>
        <v/>
      </c>
      <c r="J492" s="68">
        <f>IF(A492="","",A492+ROW()/100000)</f>
        <v/>
      </c>
    </row>
    <row r="493">
      <c r="A493" s="65" t="n"/>
      <c r="B493" s="58" t="n"/>
      <c r="C493" s="58" t="n"/>
      <c r="D493" s="66">
        <f>IF(C493="","",IFERROR(INDEX('Produtos'!$B$5:$B$204,MATCH(C493,'Produtos'!$A$5:$A$204,0)),"Código não cadastrado"))</f>
        <v/>
      </c>
      <c r="E493" s="58" t="n"/>
      <c r="F493" s="61" t="n"/>
      <c r="G493" s="59" t="n"/>
      <c r="H493" s="59" t="n"/>
      <c r="I493" s="67">
        <f>IF(OR(A493="",C493=""),"",IFERROR(INDEX('Produtos'!$F$5:$F$204,MATCH(C493,'Produtos'!$A$5:$A$204,0))+SUMIFS($F$5:$F$1004,$C$5:$C$1004,C493,$E$5:$E$1004,"Entrada",$A$5:$A$1004,"&lt;="&amp;A493)-SUMIFS($F$5:$F$1004,$C$5:$C$1004,C493,$E$5:$E$1004,"Saída",$A$5:$A$1004,"&lt;="&amp;A493),""))</f>
        <v/>
      </c>
      <c r="J493" s="68">
        <f>IF(A493="","",A493+ROW()/100000)</f>
        <v/>
      </c>
    </row>
    <row r="494">
      <c r="A494" s="65" t="n"/>
      <c r="B494" s="58" t="n"/>
      <c r="C494" s="58" t="n"/>
      <c r="D494" s="66">
        <f>IF(C494="","",IFERROR(INDEX('Produtos'!$B$5:$B$204,MATCH(C494,'Produtos'!$A$5:$A$204,0)),"Código não cadastrado"))</f>
        <v/>
      </c>
      <c r="E494" s="58" t="n"/>
      <c r="F494" s="61" t="n"/>
      <c r="G494" s="59" t="n"/>
      <c r="H494" s="59" t="n"/>
      <c r="I494" s="67">
        <f>IF(OR(A494="",C494=""),"",IFERROR(INDEX('Produtos'!$F$5:$F$204,MATCH(C494,'Produtos'!$A$5:$A$204,0))+SUMIFS($F$5:$F$1004,$C$5:$C$1004,C494,$E$5:$E$1004,"Entrada",$A$5:$A$1004,"&lt;="&amp;A494)-SUMIFS($F$5:$F$1004,$C$5:$C$1004,C494,$E$5:$E$1004,"Saída",$A$5:$A$1004,"&lt;="&amp;A494),""))</f>
        <v/>
      </c>
      <c r="J494" s="68">
        <f>IF(A494="","",A494+ROW()/100000)</f>
        <v/>
      </c>
    </row>
    <row r="495">
      <c r="A495" s="65" t="n"/>
      <c r="B495" s="58" t="n"/>
      <c r="C495" s="58" t="n"/>
      <c r="D495" s="66">
        <f>IF(C495="","",IFERROR(INDEX('Produtos'!$B$5:$B$204,MATCH(C495,'Produtos'!$A$5:$A$204,0)),"Código não cadastrado"))</f>
        <v/>
      </c>
      <c r="E495" s="58" t="n"/>
      <c r="F495" s="61" t="n"/>
      <c r="G495" s="59" t="n"/>
      <c r="H495" s="59" t="n"/>
      <c r="I495" s="67">
        <f>IF(OR(A495="",C495=""),"",IFERROR(INDEX('Produtos'!$F$5:$F$204,MATCH(C495,'Produtos'!$A$5:$A$204,0))+SUMIFS($F$5:$F$1004,$C$5:$C$1004,C495,$E$5:$E$1004,"Entrada",$A$5:$A$1004,"&lt;="&amp;A495)-SUMIFS($F$5:$F$1004,$C$5:$C$1004,C495,$E$5:$E$1004,"Saída",$A$5:$A$1004,"&lt;="&amp;A495),""))</f>
        <v/>
      </c>
      <c r="J495" s="68">
        <f>IF(A495="","",A495+ROW()/100000)</f>
        <v/>
      </c>
    </row>
    <row r="496">
      <c r="A496" s="65" t="n"/>
      <c r="B496" s="58" t="n"/>
      <c r="C496" s="58" t="n"/>
      <c r="D496" s="66">
        <f>IF(C496="","",IFERROR(INDEX('Produtos'!$B$5:$B$204,MATCH(C496,'Produtos'!$A$5:$A$204,0)),"Código não cadastrado"))</f>
        <v/>
      </c>
      <c r="E496" s="58" t="n"/>
      <c r="F496" s="61" t="n"/>
      <c r="G496" s="59" t="n"/>
      <c r="H496" s="59" t="n"/>
      <c r="I496" s="67">
        <f>IF(OR(A496="",C496=""),"",IFERROR(INDEX('Produtos'!$F$5:$F$204,MATCH(C496,'Produtos'!$A$5:$A$204,0))+SUMIFS($F$5:$F$1004,$C$5:$C$1004,C496,$E$5:$E$1004,"Entrada",$A$5:$A$1004,"&lt;="&amp;A496)-SUMIFS($F$5:$F$1004,$C$5:$C$1004,C496,$E$5:$E$1004,"Saída",$A$5:$A$1004,"&lt;="&amp;A496),""))</f>
        <v/>
      </c>
      <c r="J496" s="68">
        <f>IF(A496="","",A496+ROW()/100000)</f>
        <v/>
      </c>
    </row>
    <row r="497">
      <c r="A497" s="65" t="n"/>
      <c r="B497" s="58" t="n"/>
      <c r="C497" s="58" t="n"/>
      <c r="D497" s="66">
        <f>IF(C497="","",IFERROR(INDEX('Produtos'!$B$5:$B$204,MATCH(C497,'Produtos'!$A$5:$A$204,0)),"Código não cadastrado"))</f>
        <v/>
      </c>
      <c r="E497" s="58" t="n"/>
      <c r="F497" s="61" t="n"/>
      <c r="G497" s="59" t="n"/>
      <c r="H497" s="59" t="n"/>
      <c r="I497" s="67">
        <f>IF(OR(A497="",C497=""),"",IFERROR(INDEX('Produtos'!$F$5:$F$204,MATCH(C497,'Produtos'!$A$5:$A$204,0))+SUMIFS($F$5:$F$1004,$C$5:$C$1004,C497,$E$5:$E$1004,"Entrada",$A$5:$A$1004,"&lt;="&amp;A497)-SUMIFS($F$5:$F$1004,$C$5:$C$1004,C497,$E$5:$E$1004,"Saída",$A$5:$A$1004,"&lt;="&amp;A497),""))</f>
        <v/>
      </c>
      <c r="J497" s="68">
        <f>IF(A497="","",A497+ROW()/100000)</f>
        <v/>
      </c>
    </row>
    <row r="498">
      <c r="A498" s="65" t="n"/>
      <c r="B498" s="58" t="n"/>
      <c r="C498" s="58" t="n"/>
      <c r="D498" s="66">
        <f>IF(C498="","",IFERROR(INDEX('Produtos'!$B$5:$B$204,MATCH(C498,'Produtos'!$A$5:$A$204,0)),"Código não cadastrado"))</f>
        <v/>
      </c>
      <c r="E498" s="58" t="n"/>
      <c r="F498" s="61" t="n"/>
      <c r="G498" s="59" t="n"/>
      <c r="H498" s="59" t="n"/>
      <c r="I498" s="67">
        <f>IF(OR(A498="",C498=""),"",IFERROR(INDEX('Produtos'!$F$5:$F$204,MATCH(C498,'Produtos'!$A$5:$A$204,0))+SUMIFS($F$5:$F$1004,$C$5:$C$1004,C498,$E$5:$E$1004,"Entrada",$A$5:$A$1004,"&lt;="&amp;A498)-SUMIFS($F$5:$F$1004,$C$5:$C$1004,C498,$E$5:$E$1004,"Saída",$A$5:$A$1004,"&lt;="&amp;A498),""))</f>
        <v/>
      </c>
      <c r="J498" s="68">
        <f>IF(A498="","",A498+ROW()/100000)</f>
        <v/>
      </c>
    </row>
    <row r="499">
      <c r="A499" s="65" t="n"/>
      <c r="B499" s="58" t="n"/>
      <c r="C499" s="58" t="n"/>
      <c r="D499" s="66">
        <f>IF(C499="","",IFERROR(INDEX('Produtos'!$B$5:$B$204,MATCH(C499,'Produtos'!$A$5:$A$204,0)),"Código não cadastrado"))</f>
        <v/>
      </c>
      <c r="E499" s="58" t="n"/>
      <c r="F499" s="61" t="n"/>
      <c r="G499" s="59" t="n"/>
      <c r="H499" s="59" t="n"/>
      <c r="I499" s="67">
        <f>IF(OR(A499="",C499=""),"",IFERROR(INDEX('Produtos'!$F$5:$F$204,MATCH(C499,'Produtos'!$A$5:$A$204,0))+SUMIFS($F$5:$F$1004,$C$5:$C$1004,C499,$E$5:$E$1004,"Entrada",$A$5:$A$1004,"&lt;="&amp;A499)-SUMIFS($F$5:$F$1004,$C$5:$C$1004,C499,$E$5:$E$1004,"Saída",$A$5:$A$1004,"&lt;="&amp;A499),""))</f>
        <v/>
      </c>
      <c r="J499" s="68">
        <f>IF(A499="","",A499+ROW()/100000)</f>
        <v/>
      </c>
    </row>
    <row r="500">
      <c r="A500" s="65" t="n"/>
      <c r="B500" s="58" t="n"/>
      <c r="C500" s="58" t="n"/>
      <c r="D500" s="66">
        <f>IF(C500="","",IFERROR(INDEX('Produtos'!$B$5:$B$204,MATCH(C500,'Produtos'!$A$5:$A$204,0)),"Código não cadastrado"))</f>
        <v/>
      </c>
      <c r="E500" s="58" t="n"/>
      <c r="F500" s="61" t="n"/>
      <c r="G500" s="59" t="n"/>
      <c r="H500" s="59" t="n"/>
      <c r="I500" s="67">
        <f>IF(OR(A500="",C500=""),"",IFERROR(INDEX('Produtos'!$F$5:$F$204,MATCH(C500,'Produtos'!$A$5:$A$204,0))+SUMIFS($F$5:$F$1004,$C$5:$C$1004,C500,$E$5:$E$1004,"Entrada",$A$5:$A$1004,"&lt;="&amp;A500)-SUMIFS($F$5:$F$1004,$C$5:$C$1004,C500,$E$5:$E$1004,"Saída",$A$5:$A$1004,"&lt;="&amp;A500),""))</f>
        <v/>
      </c>
      <c r="J500" s="68">
        <f>IF(A500="","",A500+ROW()/100000)</f>
        <v/>
      </c>
    </row>
    <row r="501">
      <c r="A501" s="65" t="n"/>
      <c r="B501" s="58" t="n"/>
      <c r="C501" s="58" t="n"/>
      <c r="D501" s="66">
        <f>IF(C501="","",IFERROR(INDEX('Produtos'!$B$5:$B$204,MATCH(C501,'Produtos'!$A$5:$A$204,0)),"Código não cadastrado"))</f>
        <v/>
      </c>
      <c r="E501" s="58" t="n"/>
      <c r="F501" s="61" t="n"/>
      <c r="G501" s="59" t="n"/>
      <c r="H501" s="59" t="n"/>
      <c r="I501" s="67">
        <f>IF(OR(A501="",C501=""),"",IFERROR(INDEX('Produtos'!$F$5:$F$204,MATCH(C501,'Produtos'!$A$5:$A$204,0))+SUMIFS($F$5:$F$1004,$C$5:$C$1004,C501,$E$5:$E$1004,"Entrada",$A$5:$A$1004,"&lt;="&amp;A501)-SUMIFS($F$5:$F$1004,$C$5:$C$1004,C501,$E$5:$E$1004,"Saída",$A$5:$A$1004,"&lt;="&amp;A501),""))</f>
        <v/>
      </c>
      <c r="J501" s="68">
        <f>IF(A501="","",A501+ROW()/100000)</f>
        <v/>
      </c>
    </row>
    <row r="502">
      <c r="A502" s="65" t="n"/>
      <c r="B502" s="58" t="n"/>
      <c r="C502" s="58" t="n"/>
      <c r="D502" s="66">
        <f>IF(C502="","",IFERROR(INDEX('Produtos'!$B$5:$B$204,MATCH(C502,'Produtos'!$A$5:$A$204,0)),"Código não cadastrado"))</f>
        <v/>
      </c>
      <c r="E502" s="58" t="n"/>
      <c r="F502" s="61" t="n"/>
      <c r="G502" s="59" t="n"/>
      <c r="H502" s="59" t="n"/>
      <c r="I502" s="67">
        <f>IF(OR(A502="",C502=""),"",IFERROR(INDEX('Produtos'!$F$5:$F$204,MATCH(C502,'Produtos'!$A$5:$A$204,0))+SUMIFS($F$5:$F$1004,$C$5:$C$1004,C502,$E$5:$E$1004,"Entrada",$A$5:$A$1004,"&lt;="&amp;A502)-SUMIFS($F$5:$F$1004,$C$5:$C$1004,C502,$E$5:$E$1004,"Saída",$A$5:$A$1004,"&lt;="&amp;A502),""))</f>
        <v/>
      </c>
      <c r="J502" s="68">
        <f>IF(A502="","",A502+ROW()/100000)</f>
        <v/>
      </c>
    </row>
    <row r="503">
      <c r="A503" s="65" t="n"/>
      <c r="B503" s="58" t="n"/>
      <c r="C503" s="58" t="n"/>
      <c r="D503" s="66">
        <f>IF(C503="","",IFERROR(INDEX('Produtos'!$B$5:$B$204,MATCH(C503,'Produtos'!$A$5:$A$204,0)),"Código não cadastrado"))</f>
        <v/>
      </c>
      <c r="E503" s="58" t="n"/>
      <c r="F503" s="61" t="n"/>
      <c r="G503" s="59" t="n"/>
      <c r="H503" s="59" t="n"/>
      <c r="I503" s="67">
        <f>IF(OR(A503="",C503=""),"",IFERROR(INDEX('Produtos'!$F$5:$F$204,MATCH(C503,'Produtos'!$A$5:$A$204,0))+SUMIFS($F$5:$F$1004,$C$5:$C$1004,C503,$E$5:$E$1004,"Entrada",$A$5:$A$1004,"&lt;="&amp;A503)-SUMIFS($F$5:$F$1004,$C$5:$C$1004,C503,$E$5:$E$1004,"Saída",$A$5:$A$1004,"&lt;="&amp;A503),""))</f>
        <v/>
      </c>
      <c r="J503" s="68">
        <f>IF(A503="","",A503+ROW()/100000)</f>
        <v/>
      </c>
    </row>
    <row r="504">
      <c r="A504" s="65" t="n"/>
      <c r="B504" s="58" t="n"/>
      <c r="C504" s="58" t="n"/>
      <c r="D504" s="66">
        <f>IF(C504="","",IFERROR(INDEX('Produtos'!$B$5:$B$204,MATCH(C504,'Produtos'!$A$5:$A$204,0)),"Código não cadastrado"))</f>
        <v/>
      </c>
      <c r="E504" s="58" t="n"/>
      <c r="F504" s="61" t="n"/>
      <c r="G504" s="59" t="n"/>
      <c r="H504" s="59" t="n"/>
      <c r="I504" s="67">
        <f>IF(OR(A504="",C504=""),"",IFERROR(INDEX('Produtos'!$F$5:$F$204,MATCH(C504,'Produtos'!$A$5:$A$204,0))+SUMIFS($F$5:$F$1004,$C$5:$C$1004,C504,$E$5:$E$1004,"Entrada",$A$5:$A$1004,"&lt;="&amp;A504)-SUMIFS($F$5:$F$1004,$C$5:$C$1004,C504,$E$5:$E$1004,"Saída",$A$5:$A$1004,"&lt;="&amp;A504),""))</f>
        <v/>
      </c>
      <c r="J504" s="68">
        <f>IF(A504="","",A504+ROW()/100000)</f>
        <v/>
      </c>
    </row>
    <row r="505">
      <c r="A505" s="65" t="n"/>
      <c r="B505" s="58" t="n"/>
      <c r="C505" s="58" t="n"/>
      <c r="D505" s="66">
        <f>IF(C505="","",IFERROR(INDEX('Produtos'!$B$5:$B$204,MATCH(C505,'Produtos'!$A$5:$A$204,0)),"Código não cadastrado"))</f>
        <v/>
      </c>
      <c r="E505" s="58" t="n"/>
      <c r="F505" s="61" t="n"/>
      <c r="G505" s="59" t="n"/>
      <c r="H505" s="59" t="n"/>
      <c r="I505" s="67">
        <f>IF(OR(A505="",C505=""),"",IFERROR(INDEX('Produtos'!$F$5:$F$204,MATCH(C505,'Produtos'!$A$5:$A$204,0))+SUMIFS($F$5:$F$1004,$C$5:$C$1004,C505,$E$5:$E$1004,"Entrada",$A$5:$A$1004,"&lt;="&amp;A505)-SUMIFS($F$5:$F$1004,$C$5:$C$1004,C505,$E$5:$E$1004,"Saída",$A$5:$A$1004,"&lt;="&amp;A505),""))</f>
        <v/>
      </c>
      <c r="J505" s="68">
        <f>IF(A505="","",A505+ROW()/100000)</f>
        <v/>
      </c>
    </row>
    <row r="506">
      <c r="A506" s="65" t="n"/>
      <c r="B506" s="58" t="n"/>
      <c r="C506" s="58" t="n"/>
      <c r="D506" s="66">
        <f>IF(C506="","",IFERROR(INDEX('Produtos'!$B$5:$B$204,MATCH(C506,'Produtos'!$A$5:$A$204,0)),"Código não cadastrado"))</f>
        <v/>
      </c>
      <c r="E506" s="58" t="n"/>
      <c r="F506" s="61" t="n"/>
      <c r="G506" s="59" t="n"/>
      <c r="H506" s="59" t="n"/>
      <c r="I506" s="67">
        <f>IF(OR(A506="",C506=""),"",IFERROR(INDEX('Produtos'!$F$5:$F$204,MATCH(C506,'Produtos'!$A$5:$A$204,0))+SUMIFS($F$5:$F$1004,$C$5:$C$1004,C506,$E$5:$E$1004,"Entrada",$A$5:$A$1004,"&lt;="&amp;A506)-SUMIFS($F$5:$F$1004,$C$5:$C$1004,C506,$E$5:$E$1004,"Saída",$A$5:$A$1004,"&lt;="&amp;A506),""))</f>
        <v/>
      </c>
      <c r="J506" s="68">
        <f>IF(A506="","",A506+ROW()/100000)</f>
        <v/>
      </c>
    </row>
    <row r="507">
      <c r="A507" s="65" t="n"/>
      <c r="B507" s="58" t="n"/>
      <c r="C507" s="58" t="n"/>
      <c r="D507" s="66">
        <f>IF(C507="","",IFERROR(INDEX('Produtos'!$B$5:$B$204,MATCH(C507,'Produtos'!$A$5:$A$204,0)),"Código não cadastrado"))</f>
        <v/>
      </c>
      <c r="E507" s="58" t="n"/>
      <c r="F507" s="61" t="n"/>
      <c r="G507" s="59" t="n"/>
      <c r="H507" s="59" t="n"/>
      <c r="I507" s="67">
        <f>IF(OR(A507="",C507=""),"",IFERROR(INDEX('Produtos'!$F$5:$F$204,MATCH(C507,'Produtos'!$A$5:$A$204,0))+SUMIFS($F$5:$F$1004,$C$5:$C$1004,C507,$E$5:$E$1004,"Entrada",$A$5:$A$1004,"&lt;="&amp;A507)-SUMIFS($F$5:$F$1004,$C$5:$C$1004,C507,$E$5:$E$1004,"Saída",$A$5:$A$1004,"&lt;="&amp;A507),""))</f>
        <v/>
      </c>
      <c r="J507" s="68">
        <f>IF(A507="","",A507+ROW()/100000)</f>
        <v/>
      </c>
    </row>
    <row r="508">
      <c r="A508" s="65" t="n"/>
      <c r="B508" s="58" t="n"/>
      <c r="C508" s="58" t="n"/>
      <c r="D508" s="66">
        <f>IF(C508="","",IFERROR(INDEX('Produtos'!$B$5:$B$204,MATCH(C508,'Produtos'!$A$5:$A$204,0)),"Código não cadastrado"))</f>
        <v/>
      </c>
      <c r="E508" s="58" t="n"/>
      <c r="F508" s="61" t="n"/>
      <c r="G508" s="59" t="n"/>
      <c r="H508" s="59" t="n"/>
      <c r="I508" s="67">
        <f>IF(OR(A508="",C508=""),"",IFERROR(INDEX('Produtos'!$F$5:$F$204,MATCH(C508,'Produtos'!$A$5:$A$204,0))+SUMIFS($F$5:$F$1004,$C$5:$C$1004,C508,$E$5:$E$1004,"Entrada",$A$5:$A$1004,"&lt;="&amp;A508)-SUMIFS($F$5:$F$1004,$C$5:$C$1004,C508,$E$5:$E$1004,"Saída",$A$5:$A$1004,"&lt;="&amp;A508),""))</f>
        <v/>
      </c>
      <c r="J508" s="68">
        <f>IF(A508="","",A508+ROW()/100000)</f>
        <v/>
      </c>
    </row>
    <row r="509">
      <c r="A509" s="65" t="n"/>
      <c r="B509" s="58" t="n"/>
      <c r="C509" s="58" t="n"/>
      <c r="D509" s="66">
        <f>IF(C509="","",IFERROR(INDEX('Produtos'!$B$5:$B$204,MATCH(C509,'Produtos'!$A$5:$A$204,0)),"Código não cadastrado"))</f>
        <v/>
      </c>
      <c r="E509" s="58" t="n"/>
      <c r="F509" s="61" t="n"/>
      <c r="G509" s="59" t="n"/>
      <c r="H509" s="59" t="n"/>
      <c r="I509" s="67">
        <f>IF(OR(A509="",C509=""),"",IFERROR(INDEX('Produtos'!$F$5:$F$204,MATCH(C509,'Produtos'!$A$5:$A$204,0))+SUMIFS($F$5:$F$1004,$C$5:$C$1004,C509,$E$5:$E$1004,"Entrada",$A$5:$A$1004,"&lt;="&amp;A509)-SUMIFS($F$5:$F$1004,$C$5:$C$1004,C509,$E$5:$E$1004,"Saída",$A$5:$A$1004,"&lt;="&amp;A509),""))</f>
        <v/>
      </c>
      <c r="J509" s="68">
        <f>IF(A509="","",A509+ROW()/100000)</f>
        <v/>
      </c>
    </row>
    <row r="510">
      <c r="A510" s="65" t="n"/>
      <c r="B510" s="58" t="n"/>
      <c r="C510" s="58" t="n"/>
      <c r="D510" s="66">
        <f>IF(C510="","",IFERROR(INDEX('Produtos'!$B$5:$B$204,MATCH(C510,'Produtos'!$A$5:$A$204,0)),"Código não cadastrado"))</f>
        <v/>
      </c>
      <c r="E510" s="58" t="n"/>
      <c r="F510" s="61" t="n"/>
      <c r="G510" s="59" t="n"/>
      <c r="H510" s="59" t="n"/>
      <c r="I510" s="67">
        <f>IF(OR(A510="",C510=""),"",IFERROR(INDEX('Produtos'!$F$5:$F$204,MATCH(C510,'Produtos'!$A$5:$A$204,0))+SUMIFS($F$5:$F$1004,$C$5:$C$1004,C510,$E$5:$E$1004,"Entrada",$A$5:$A$1004,"&lt;="&amp;A510)-SUMIFS($F$5:$F$1004,$C$5:$C$1004,C510,$E$5:$E$1004,"Saída",$A$5:$A$1004,"&lt;="&amp;A510),""))</f>
        <v/>
      </c>
      <c r="J510" s="68">
        <f>IF(A510="","",A510+ROW()/100000)</f>
        <v/>
      </c>
    </row>
    <row r="511">
      <c r="A511" s="65" t="n"/>
      <c r="B511" s="58" t="n"/>
      <c r="C511" s="58" t="n"/>
      <c r="D511" s="66">
        <f>IF(C511="","",IFERROR(INDEX('Produtos'!$B$5:$B$204,MATCH(C511,'Produtos'!$A$5:$A$204,0)),"Código não cadastrado"))</f>
        <v/>
      </c>
      <c r="E511" s="58" t="n"/>
      <c r="F511" s="61" t="n"/>
      <c r="G511" s="59" t="n"/>
      <c r="H511" s="59" t="n"/>
      <c r="I511" s="67">
        <f>IF(OR(A511="",C511=""),"",IFERROR(INDEX('Produtos'!$F$5:$F$204,MATCH(C511,'Produtos'!$A$5:$A$204,0))+SUMIFS($F$5:$F$1004,$C$5:$C$1004,C511,$E$5:$E$1004,"Entrada",$A$5:$A$1004,"&lt;="&amp;A511)-SUMIFS($F$5:$F$1004,$C$5:$C$1004,C511,$E$5:$E$1004,"Saída",$A$5:$A$1004,"&lt;="&amp;A511),""))</f>
        <v/>
      </c>
      <c r="J511" s="68">
        <f>IF(A511="","",A511+ROW()/100000)</f>
        <v/>
      </c>
    </row>
    <row r="512">
      <c r="A512" s="65" t="n"/>
      <c r="B512" s="58" t="n"/>
      <c r="C512" s="58" t="n"/>
      <c r="D512" s="66">
        <f>IF(C512="","",IFERROR(INDEX('Produtos'!$B$5:$B$204,MATCH(C512,'Produtos'!$A$5:$A$204,0)),"Código não cadastrado"))</f>
        <v/>
      </c>
      <c r="E512" s="58" t="n"/>
      <c r="F512" s="61" t="n"/>
      <c r="G512" s="59" t="n"/>
      <c r="H512" s="59" t="n"/>
      <c r="I512" s="67">
        <f>IF(OR(A512="",C512=""),"",IFERROR(INDEX('Produtos'!$F$5:$F$204,MATCH(C512,'Produtos'!$A$5:$A$204,0))+SUMIFS($F$5:$F$1004,$C$5:$C$1004,C512,$E$5:$E$1004,"Entrada",$A$5:$A$1004,"&lt;="&amp;A512)-SUMIFS($F$5:$F$1004,$C$5:$C$1004,C512,$E$5:$E$1004,"Saída",$A$5:$A$1004,"&lt;="&amp;A512),""))</f>
        <v/>
      </c>
      <c r="J512" s="68">
        <f>IF(A512="","",A512+ROW()/100000)</f>
        <v/>
      </c>
    </row>
    <row r="513">
      <c r="A513" s="65" t="n"/>
      <c r="B513" s="58" t="n"/>
      <c r="C513" s="58" t="n"/>
      <c r="D513" s="66">
        <f>IF(C513="","",IFERROR(INDEX('Produtos'!$B$5:$B$204,MATCH(C513,'Produtos'!$A$5:$A$204,0)),"Código não cadastrado"))</f>
        <v/>
      </c>
      <c r="E513" s="58" t="n"/>
      <c r="F513" s="61" t="n"/>
      <c r="G513" s="59" t="n"/>
      <c r="H513" s="59" t="n"/>
      <c r="I513" s="67">
        <f>IF(OR(A513="",C513=""),"",IFERROR(INDEX('Produtos'!$F$5:$F$204,MATCH(C513,'Produtos'!$A$5:$A$204,0))+SUMIFS($F$5:$F$1004,$C$5:$C$1004,C513,$E$5:$E$1004,"Entrada",$A$5:$A$1004,"&lt;="&amp;A513)-SUMIFS($F$5:$F$1004,$C$5:$C$1004,C513,$E$5:$E$1004,"Saída",$A$5:$A$1004,"&lt;="&amp;A513),""))</f>
        <v/>
      </c>
      <c r="J513" s="68">
        <f>IF(A513="","",A513+ROW()/100000)</f>
        <v/>
      </c>
    </row>
    <row r="514">
      <c r="A514" s="65" t="n"/>
      <c r="B514" s="58" t="n"/>
      <c r="C514" s="58" t="n"/>
      <c r="D514" s="66">
        <f>IF(C514="","",IFERROR(INDEX('Produtos'!$B$5:$B$204,MATCH(C514,'Produtos'!$A$5:$A$204,0)),"Código não cadastrado"))</f>
        <v/>
      </c>
      <c r="E514" s="58" t="n"/>
      <c r="F514" s="61" t="n"/>
      <c r="G514" s="59" t="n"/>
      <c r="H514" s="59" t="n"/>
      <c r="I514" s="67">
        <f>IF(OR(A514="",C514=""),"",IFERROR(INDEX('Produtos'!$F$5:$F$204,MATCH(C514,'Produtos'!$A$5:$A$204,0))+SUMIFS($F$5:$F$1004,$C$5:$C$1004,C514,$E$5:$E$1004,"Entrada",$A$5:$A$1004,"&lt;="&amp;A514)-SUMIFS($F$5:$F$1004,$C$5:$C$1004,C514,$E$5:$E$1004,"Saída",$A$5:$A$1004,"&lt;="&amp;A514),""))</f>
        <v/>
      </c>
      <c r="J514" s="68">
        <f>IF(A514="","",A514+ROW()/100000)</f>
        <v/>
      </c>
    </row>
    <row r="515">
      <c r="A515" s="65" t="n"/>
      <c r="B515" s="58" t="n"/>
      <c r="C515" s="58" t="n"/>
      <c r="D515" s="66">
        <f>IF(C515="","",IFERROR(INDEX('Produtos'!$B$5:$B$204,MATCH(C515,'Produtos'!$A$5:$A$204,0)),"Código não cadastrado"))</f>
        <v/>
      </c>
      <c r="E515" s="58" t="n"/>
      <c r="F515" s="61" t="n"/>
      <c r="G515" s="59" t="n"/>
      <c r="H515" s="59" t="n"/>
      <c r="I515" s="67">
        <f>IF(OR(A515="",C515=""),"",IFERROR(INDEX('Produtos'!$F$5:$F$204,MATCH(C515,'Produtos'!$A$5:$A$204,0))+SUMIFS($F$5:$F$1004,$C$5:$C$1004,C515,$E$5:$E$1004,"Entrada",$A$5:$A$1004,"&lt;="&amp;A515)-SUMIFS($F$5:$F$1004,$C$5:$C$1004,C515,$E$5:$E$1004,"Saída",$A$5:$A$1004,"&lt;="&amp;A515),""))</f>
        <v/>
      </c>
      <c r="J515" s="68">
        <f>IF(A515="","",A515+ROW()/100000)</f>
        <v/>
      </c>
    </row>
    <row r="516">
      <c r="A516" s="65" t="n"/>
      <c r="B516" s="58" t="n"/>
      <c r="C516" s="58" t="n"/>
      <c r="D516" s="66">
        <f>IF(C516="","",IFERROR(INDEX('Produtos'!$B$5:$B$204,MATCH(C516,'Produtos'!$A$5:$A$204,0)),"Código não cadastrado"))</f>
        <v/>
      </c>
      <c r="E516" s="58" t="n"/>
      <c r="F516" s="61" t="n"/>
      <c r="G516" s="59" t="n"/>
      <c r="H516" s="59" t="n"/>
      <c r="I516" s="67">
        <f>IF(OR(A516="",C516=""),"",IFERROR(INDEX('Produtos'!$F$5:$F$204,MATCH(C516,'Produtos'!$A$5:$A$204,0))+SUMIFS($F$5:$F$1004,$C$5:$C$1004,C516,$E$5:$E$1004,"Entrada",$A$5:$A$1004,"&lt;="&amp;A516)-SUMIFS($F$5:$F$1004,$C$5:$C$1004,C516,$E$5:$E$1004,"Saída",$A$5:$A$1004,"&lt;="&amp;A516),""))</f>
        <v/>
      </c>
      <c r="J516" s="68">
        <f>IF(A516="","",A516+ROW()/100000)</f>
        <v/>
      </c>
    </row>
    <row r="517">
      <c r="A517" s="65" t="n"/>
      <c r="B517" s="58" t="n"/>
      <c r="C517" s="58" t="n"/>
      <c r="D517" s="66">
        <f>IF(C517="","",IFERROR(INDEX('Produtos'!$B$5:$B$204,MATCH(C517,'Produtos'!$A$5:$A$204,0)),"Código não cadastrado"))</f>
        <v/>
      </c>
      <c r="E517" s="58" t="n"/>
      <c r="F517" s="61" t="n"/>
      <c r="G517" s="59" t="n"/>
      <c r="H517" s="59" t="n"/>
      <c r="I517" s="67">
        <f>IF(OR(A517="",C517=""),"",IFERROR(INDEX('Produtos'!$F$5:$F$204,MATCH(C517,'Produtos'!$A$5:$A$204,0))+SUMIFS($F$5:$F$1004,$C$5:$C$1004,C517,$E$5:$E$1004,"Entrada",$A$5:$A$1004,"&lt;="&amp;A517)-SUMIFS($F$5:$F$1004,$C$5:$C$1004,C517,$E$5:$E$1004,"Saída",$A$5:$A$1004,"&lt;="&amp;A517),""))</f>
        <v/>
      </c>
      <c r="J517" s="68">
        <f>IF(A517="","",A517+ROW()/100000)</f>
        <v/>
      </c>
    </row>
    <row r="518">
      <c r="A518" s="65" t="n"/>
      <c r="B518" s="58" t="n"/>
      <c r="C518" s="58" t="n"/>
      <c r="D518" s="66">
        <f>IF(C518="","",IFERROR(INDEX('Produtos'!$B$5:$B$204,MATCH(C518,'Produtos'!$A$5:$A$204,0)),"Código não cadastrado"))</f>
        <v/>
      </c>
      <c r="E518" s="58" t="n"/>
      <c r="F518" s="61" t="n"/>
      <c r="G518" s="59" t="n"/>
      <c r="H518" s="59" t="n"/>
      <c r="I518" s="67">
        <f>IF(OR(A518="",C518=""),"",IFERROR(INDEX('Produtos'!$F$5:$F$204,MATCH(C518,'Produtos'!$A$5:$A$204,0))+SUMIFS($F$5:$F$1004,$C$5:$C$1004,C518,$E$5:$E$1004,"Entrada",$A$5:$A$1004,"&lt;="&amp;A518)-SUMIFS($F$5:$F$1004,$C$5:$C$1004,C518,$E$5:$E$1004,"Saída",$A$5:$A$1004,"&lt;="&amp;A518),""))</f>
        <v/>
      </c>
      <c r="J518" s="68">
        <f>IF(A518="","",A518+ROW()/100000)</f>
        <v/>
      </c>
    </row>
    <row r="519">
      <c r="A519" s="65" t="n"/>
      <c r="B519" s="58" t="n"/>
      <c r="C519" s="58" t="n"/>
      <c r="D519" s="66">
        <f>IF(C519="","",IFERROR(INDEX('Produtos'!$B$5:$B$204,MATCH(C519,'Produtos'!$A$5:$A$204,0)),"Código não cadastrado"))</f>
        <v/>
      </c>
      <c r="E519" s="58" t="n"/>
      <c r="F519" s="61" t="n"/>
      <c r="G519" s="59" t="n"/>
      <c r="H519" s="59" t="n"/>
      <c r="I519" s="67">
        <f>IF(OR(A519="",C519=""),"",IFERROR(INDEX('Produtos'!$F$5:$F$204,MATCH(C519,'Produtos'!$A$5:$A$204,0))+SUMIFS($F$5:$F$1004,$C$5:$C$1004,C519,$E$5:$E$1004,"Entrada",$A$5:$A$1004,"&lt;="&amp;A519)-SUMIFS($F$5:$F$1004,$C$5:$C$1004,C519,$E$5:$E$1004,"Saída",$A$5:$A$1004,"&lt;="&amp;A519),""))</f>
        <v/>
      </c>
      <c r="J519" s="68">
        <f>IF(A519="","",A519+ROW()/100000)</f>
        <v/>
      </c>
    </row>
    <row r="520">
      <c r="A520" s="65" t="n"/>
      <c r="B520" s="58" t="n"/>
      <c r="C520" s="58" t="n"/>
      <c r="D520" s="66">
        <f>IF(C520="","",IFERROR(INDEX('Produtos'!$B$5:$B$204,MATCH(C520,'Produtos'!$A$5:$A$204,0)),"Código não cadastrado"))</f>
        <v/>
      </c>
      <c r="E520" s="58" t="n"/>
      <c r="F520" s="61" t="n"/>
      <c r="G520" s="59" t="n"/>
      <c r="H520" s="59" t="n"/>
      <c r="I520" s="67">
        <f>IF(OR(A520="",C520=""),"",IFERROR(INDEX('Produtos'!$F$5:$F$204,MATCH(C520,'Produtos'!$A$5:$A$204,0))+SUMIFS($F$5:$F$1004,$C$5:$C$1004,C520,$E$5:$E$1004,"Entrada",$A$5:$A$1004,"&lt;="&amp;A520)-SUMIFS($F$5:$F$1004,$C$5:$C$1004,C520,$E$5:$E$1004,"Saída",$A$5:$A$1004,"&lt;="&amp;A520),""))</f>
        <v/>
      </c>
      <c r="J520" s="68">
        <f>IF(A520="","",A520+ROW()/100000)</f>
        <v/>
      </c>
    </row>
    <row r="521">
      <c r="A521" s="65" t="n"/>
      <c r="B521" s="58" t="n"/>
      <c r="C521" s="58" t="n"/>
      <c r="D521" s="66">
        <f>IF(C521="","",IFERROR(INDEX('Produtos'!$B$5:$B$204,MATCH(C521,'Produtos'!$A$5:$A$204,0)),"Código não cadastrado"))</f>
        <v/>
      </c>
      <c r="E521" s="58" t="n"/>
      <c r="F521" s="61" t="n"/>
      <c r="G521" s="59" t="n"/>
      <c r="H521" s="59" t="n"/>
      <c r="I521" s="67">
        <f>IF(OR(A521="",C521=""),"",IFERROR(INDEX('Produtos'!$F$5:$F$204,MATCH(C521,'Produtos'!$A$5:$A$204,0))+SUMIFS($F$5:$F$1004,$C$5:$C$1004,C521,$E$5:$E$1004,"Entrada",$A$5:$A$1004,"&lt;="&amp;A521)-SUMIFS($F$5:$F$1004,$C$5:$C$1004,C521,$E$5:$E$1004,"Saída",$A$5:$A$1004,"&lt;="&amp;A521),""))</f>
        <v/>
      </c>
      <c r="J521" s="68">
        <f>IF(A521="","",A521+ROW()/100000)</f>
        <v/>
      </c>
    </row>
    <row r="522">
      <c r="A522" s="65" t="n"/>
      <c r="B522" s="58" t="n"/>
      <c r="C522" s="58" t="n"/>
      <c r="D522" s="66">
        <f>IF(C522="","",IFERROR(INDEX('Produtos'!$B$5:$B$204,MATCH(C522,'Produtos'!$A$5:$A$204,0)),"Código não cadastrado"))</f>
        <v/>
      </c>
      <c r="E522" s="58" t="n"/>
      <c r="F522" s="61" t="n"/>
      <c r="G522" s="59" t="n"/>
      <c r="H522" s="59" t="n"/>
      <c r="I522" s="67">
        <f>IF(OR(A522="",C522=""),"",IFERROR(INDEX('Produtos'!$F$5:$F$204,MATCH(C522,'Produtos'!$A$5:$A$204,0))+SUMIFS($F$5:$F$1004,$C$5:$C$1004,C522,$E$5:$E$1004,"Entrada",$A$5:$A$1004,"&lt;="&amp;A522)-SUMIFS($F$5:$F$1004,$C$5:$C$1004,C522,$E$5:$E$1004,"Saída",$A$5:$A$1004,"&lt;="&amp;A522),""))</f>
        <v/>
      </c>
      <c r="J522" s="68">
        <f>IF(A522="","",A522+ROW()/100000)</f>
        <v/>
      </c>
    </row>
    <row r="523">
      <c r="A523" s="65" t="n"/>
      <c r="B523" s="58" t="n"/>
      <c r="C523" s="58" t="n"/>
      <c r="D523" s="66">
        <f>IF(C523="","",IFERROR(INDEX('Produtos'!$B$5:$B$204,MATCH(C523,'Produtos'!$A$5:$A$204,0)),"Código não cadastrado"))</f>
        <v/>
      </c>
      <c r="E523" s="58" t="n"/>
      <c r="F523" s="61" t="n"/>
      <c r="G523" s="59" t="n"/>
      <c r="H523" s="59" t="n"/>
      <c r="I523" s="67">
        <f>IF(OR(A523="",C523=""),"",IFERROR(INDEX('Produtos'!$F$5:$F$204,MATCH(C523,'Produtos'!$A$5:$A$204,0))+SUMIFS($F$5:$F$1004,$C$5:$C$1004,C523,$E$5:$E$1004,"Entrada",$A$5:$A$1004,"&lt;="&amp;A523)-SUMIFS($F$5:$F$1004,$C$5:$C$1004,C523,$E$5:$E$1004,"Saída",$A$5:$A$1004,"&lt;="&amp;A523),""))</f>
        <v/>
      </c>
      <c r="J523" s="68">
        <f>IF(A523="","",A523+ROW()/100000)</f>
        <v/>
      </c>
    </row>
    <row r="524">
      <c r="A524" s="65" t="n"/>
      <c r="B524" s="58" t="n"/>
      <c r="C524" s="58" t="n"/>
      <c r="D524" s="66">
        <f>IF(C524="","",IFERROR(INDEX('Produtos'!$B$5:$B$204,MATCH(C524,'Produtos'!$A$5:$A$204,0)),"Código não cadastrado"))</f>
        <v/>
      </c>
      <c r="E524" s="58" t="n"/>
      <c r="F524" s="61" t="n"/>
      <c r="G524" s="59" t="n"/>
      <c r="H524" s="59" t="n"/>
      <c r="I524" s="67">
        <f>IF(OR(A524="",C524=""),"",IFERROR(INDEX('Produtos'!$F$5:$F$204,MATCH(C524,'Produtos'!$A$5:$A$204,0))+SUMIFS($F$5:$F$1004,$C$5:$C$1004,C524,$E$5:$E$1004,"Entrada",$A$5:$A$1004,"&lt;="&amp;A524)-SUMIFS($F$5:$F$1004,$C$5:$C$1004,C524,$E$5:$E$1004,"Saída",$A$5:$A$1004,"&lt;="&amp;A524),""))</f>
        <v/>
      </c>
      <c r="J524" s="68">
        <f>IF(A524="","",A524+ROW()/100000)</f>
        <v/>
      </c>
    </row>
    <row r="525">
      <c r="A525" s="65" t="n"/>
      <c r="B525" s="58" t="n"/>
      <c r="C525" s="58" t="n"/>
      <c r="D525" s="66">
        <f>IF(C525="","",IFERROR(INDEX('Produtos'!$B$5:$B$204,MATCH(C525,'Produtos'!$A$5:$A$204,0)),"Código não cadastrado"))</f>
        <v/>
      </c>
      <c r="E525" s="58" t="n"/>
      <c r="F525" s="61" t="n"/>
      <c r="G525" s="59" t="n"/>
      <c r="H525" s="59" t="n"/>
      <c r="I525" s="67">
        <f>IF(OR(A525="",C525=""),"",IFERROR(INDEX('Produtos'!$F$5:$F$204,MATCH(C525,'Produtos'!$A$5:$A$204,0))+SUMIFS($F$5:$F$1004,$C$5:$C$1004,C525,$E$5:$E$1004,"Entrada",$A$5:$A$1004,"&lt;="&amp;A525)-SUMIFS($F$5:$F$1004,$C$5:$C$1004,C525,$E$5:$E$1004,"Saída",$A$5:$A$1004,"&lt;="&amp;A525),""))</f>
        <v/>
      </c>
      <c r="J525" s="68">
        <f>IF(A525="","",A525+ROW()/100000)</f>
        <v/>
      </c>
    </row>
    <row r="526">
      <c r="A526" s="65" t="n"/>
      <c r="B526" s="58" t="n"/>
      <c r="C526" s="58" t="n"/>
      <c r="D526" s="66">
        <f>IF(C526="","",IFERROR(INDEX('Produtos'!$B$5:$B$204,MATCH(C526,'Produtos'!$A$5:$A$204,0)),"Código não cadastrado"))</f>
        <v/>
      </c>
      <c r="E526" s="58" t="n"/>
      <c r="F526" s="61" t="n"/>
      <c r="G526" s="59" t="n"/>
      <c r="H526" s="59" t="n"/>
      <c r="I526" s="67">
        <f>IF(OR(A526="",C526=""),"",IFERROR(INDEX('Produtos'!$F$5:$F$204,MATCH(C526,'Produtos'!$A$5:$A$204,0))+SUMIFS($F$5:$F$1004,$C$5:$C$1004,C526,$E$5:$E$1004,"Entrada",$A$5:$A$1004,"&lt;="&amp;A526)-SUMIFS($F$5:$F$1004,$C$5:$C$1004,C526,$E$5:$E$1004,"Saída",$A$5:$A$1004,"&lt;="&amp;A526),""))</f>
        <v/>
      </c>
      <c r="J526" s="68">
        <f>IF(A526="","",A526+ROW()/100000)</f>
        <v/>
      </c>
    </row>
    <row r="527">
      <c r="A527" s="65" t="n"/>
      <c r="B527" s="58" t="n"/>
      <c r="C527" s="58" t="n"/>
      <c r="D527" s="66">
        <f>IF(C527="","",IFERROR(INDEX('Produtos'!$B$5:$B$204,MATCH(C527,'Produtos'!$A$5:$A$204,0)),"Código não cadastrado"))</f>
        <v/>
      </c>
      <c r="E527" s="58" t="n"/>
      <c r="F527" s="61" t="n"/>
      <c r="G527" s="59" t="n"/>
      <c r="H527" s="59" t="n"/>
      <c r="I527" s="67">
        <f>IF(OR(A527="",C527=""),"",IFERROR(INDEX('Produtos'!$F$5:$F$204,MATCH(C527,'Produtos'!$A$5:$A$204,0))+SUMIFS($F$5:$F$1004,$C$5:$C$1004,C527,$E$5:$E$1004,"Entrada",$A$5:$A$1004,"&lt;="&amp;A527)-SUMIFS($F$5:$F$1004,$C$5:$C$1004,C527,$E$5:$E$1004,"Saída",$A$5:$A$1004,"&lt;="&amp;A527),""))</f>
        <v/>
      </c>
      <c r="J527" s="68">
        <f>IF(A527="","",A527+ROW()/100000)</f>
        <v/>
      </c>
    </row>
    <row r="528">
      <c r="A528" s="65" t="n"/>
      <c r="B528" s="58" t="n"/>
      <c r="C528" s="58" t="n"/>
      <c r="D528" s="66">
        <f>IF(C528="","",IFERROR(INDEX('Produtos'!$B$5:$B$204,MATCH(C528,'Produtos'!$A$5:$A$204,0)),"Código não cadastrado"))</f>
        <v/>
      </c>
      <c r="E528" s="58" t="n"/>
      <c r="F528" s="61" t="n"/>
      <c r="G528" s="59" t="n"/>
      <c r="H528" s="59" t="n"/>
      <c r="I528" s="67">
        <f>IF(OR(A528="",C528=""),"",IFERROR(INDEX('Produtos'!$F$5:$F$204,MATCH(C528,'Produtos'!$A$5:$A$204,0))+SUMIFS($F$5:$F$1004,$C$5:$C$1004,C528,$E$5:$E$1004,"Entrada",$A$5:$A$1004,"&lt;="&amp;A528)-SUMIFS($F$5:$F$1004,$C$5:$C$1004,C528,$E$5:$E$1004,"Saída",$A$5:$A$1004,"&lt;="&amp;A528),""))</f>
        <v/>
      </c>
      <c r="J528" s="68">
        <f>IF(A528="","",A528+ROW()/100000)</f>
        <v/>
      </c>
    </row>
    <row r="529">
      <c r="A529" s="65" t="n"/>
      <c r="B529" s="58" t="n"/>
      <c r="C529" s="58" t="n"/>
      <c r="D529" s="66">
        <f>IF(C529="","",IFERROR(INDEX('Produtos'!$B$5:$B$204,MATCH(C529,'Produtos'!$A$5:$A$204,0)),"Código não cadastrado"))</f>
        <v/>
      </c>
      <c r="E529" s="58" t="n"/>
      <c r="F529" s="61" t="n"/>
      <c r="G529" s="59" t="n"/>
      <c r="H529" s="59" t="n"/>
      <c r="I529" s="67">
        <f>IF(OR(A529="",C529=""),"",IFERROR(INDEX('Produtos'!$F$5:$F$204,MATCH(C529,'Produtos'!$A$5:$A$204,0))+SUMIFS($F$5:$F$1004,$C$5:$C$1004,C529,$E$5:$E$1004,"Entrada",$A$5:$A$1004,"&lt;="&amp;A529)-SUMIFS($F$5:$F$1004,$C$5:$C$1004,C529,$E$5:$E$1004,"Saída",$A$5:$A$1004,"&lt;="&amp;A529),""))</f>
        <v/>
      </c>
      <c r="J529" s="68">
        <f>IF(A529="","",A529+ROW()/100000)</f>
        <v/>
      </c>
    </row>
    <row r="530">
      <c r="A530" s="65" t="n"/>
      <c r="B530" s="58" t="n"/>
      <c r="C530" s="58" t="n"/>
      <c r="D530" s="66">
        <f>IF(C530="","",IFERROR(INDEX('Produtos'!$B$5:$B$204,MATCH(C530,'Produtos'!$A$5:$A$204,0)),"Código não cadastrado"))</f>
        <v/>
      </c>
      <c r="E530" s="58" t="n"/>
      <c r="F530" s="61" t="n"/>
      <c r="G530" s="59" t="n"/>
      <c r="H530" s="59" t="n"/>
      <c r="I530" s="67">
        <f>IF(OR(A530="",C530=""),"",IFERROR(INDEX('Produtos'!$F$5:$F$204,MATCH(C530,'Produtos'!$A$5:$A$204,0))+SUMIFS($F$5:$F$1004,$C$5:$C$1004,C530,$E$5:$E$1004,"Entrada",$A$5:$A$1004,"&lt;="&amp;A530)-SUMIFS($F$5:$F$1004,$C$5:$C$1004,C530,$E$5:$E$1004,"Saída",$A$5:$A$1004,"&lt;="&amp;A530),""))</f>
        <v/>
      </c>
      <c r="J530" s="68">
        <f>IF(A530="","",A530+ROW()/100000)</f>
        <v/>
      </c>
    </row>
    <row r="531">
      <c r="A531" s="65" t="n"/>
      <c r="B531" s="58" t="n"/>
      <c r="C531" s="58" t="n"/>
      <c r="D531" s="66">
        <f>IF(C531="","",IFERROR(INDEX('Produtos'!$B$5:$B$204,MATCH(C531,'Produtos'!$A$5:$A$204,0)),"Código não cadastrado"))</f>
        <v/>
      </c>
      <c r="E531" s="58" t="n"/>
      <c r="F531" s="61" t="n"/>
      <c r="G531" s="59" t="n"/>
      <c r="H531" s="59" t="n"/>
      <c r="I531" s="67">
        <f>IF(OR(A531="",C531=""),"",IFERROR(INDEX('Produtos'!$F$5:$F$204,MATCH(C531,'Produtos'!$A$5:$A$204,0))+SUMIFS($F$5:$F$1004,$C$5:$C$1004,C531,$E$5:$E$1004,"Entrada",$A$5:$A$1004,"&lt;="&amp;A531)-SUMIFS($F$5:$F$1004,$C$5:$C$1004,C531,$E$5:$E$1004,"Saída",$A$5:$A$1004,"&lt;="&amp;A531),""))</f>
        <v/>
      </c>
      <c r="J531" s="68">
        <f>IF(A531="","",A531+ROW()/100000)</f>
        <v/>
      </c>
    </row>
    <row r="532">
      <c r="A532" s="65" t="n"/>
      <c r="B532" s="58" t="n"/>
      <c r="C532" s="58" t="n"/>
      <c r="D532" s="66">
        <f>IF(C532="","",IFERROR(INDEX('Produtos'!$B$5:$B$204,MATCH(C532,'Produtos'!$A$5:$A$204,0)),"Código não cadastrado"))</f>
        <v/>
      </c>
      <c r="E532" s="58" t="n"/>
      <c r="F532" s="61" t="n"/>
      <c r="G532" s="59" t="n"/>
      <c r="H532" s="59" t="n"/>
      <c r="I532" s="67">
        <f>IF(OR(A532="",C532=""),"",IFERROR(INDEX('Produtos'!$F$5:$F$204,MATCH(C532,'Produtos'!$A$5:$A$204,0))+SUMIFS($F$5:$F$1004,$C$5:$C$1004,C532,$E$5:$E$1004,"Entrada",$A$5:$A$1004,"&lt;="&amp;A532)-SUMIFS($F$5:$F$1004,$C$5:$C$1004,C532,$E$5:$E$1004,"Saída",$A$5:$A$1004,"&lt;="&amp;A532),""))</f>
        <v/>
      </c>
      <c r="J532" s="68">
        <f>IF(A532="","",A532+ROW()/100000)</f>
        <v/>
      </c>
    </row>
    <row r="533">
      <c r="A533" s="65" t="n"/>
      <c r="B533" s="58" t="n"/>
      <c r="C533" s="58" t="n"/>
      <c r="D533" s="66">
        <f>IF(C533="","",IFERROR(INDEX('Produtos'!$B$5:$B$204,MATCH(C533,'Produtos'!$A$5:$A$204,0)),"Código não cadastrado"))</f>
        <v/>
      </c>
      <c r="E533" s="58" t="n"/>
      <c r="F533" s="61" t="n"/>
      <c r="G533" s="59" t="n"/>
      <c r="H533" s="59" t="n"/>
      <c r="I533" s="67">
        <f>IF(OR(A533="",C533=""),"",IFERROR(INDEX('Produtos'!$F$5:$F$204,MATCH(C533,'Produtos'!$A$5:$A$204,0))+SUMIFS($F$5:$F$1004,$C$5:$C$1004,C533,$E$5:$E$1004,"Entrada",$A$5:$A$1004,"&lt;="&amp;A533)-SUMIFS($F$5:$F$1004,$C$5:$C$1004,C533,$E$5:$E$1004,"Saída",$A$5:$A$1004,"&lt;="&amp;A533),""))</f>
        <v/>
      </c>
      <c r="J533" s="68">
        <f>IF(A533="","",A533+ROW()/100000)</f>
        <v/>
      </c>
    </row>
    <row r="534">
      <c r="A534" s="65" t="n"/>
      <c r="B534" s="58" t="n"/>
      <c r="C534" s="58" t="n"/>
      <c r="D534" s="66">
        <f>IF(C534="","",IFERROR(INDEX('Produtos'!$B$5:$B$204,MATCH(C534,'Produtos'!$A$5:$A$204,0)),"Código não cadastrado"))</f>
        <v/>
      </c>
      <c r="E534" s="58" t="n"/>
      <c r="F534" s="61" t="n"/>
      <c r="G534" s="59" t="n"/>
      <c r="H534" s="59" t="n"/>
      <c r="I534" s="67">
        <f>IF(OR(A534="",C534=""),"",IFERROR(INDEX('Produtos'!$F$5:$F$204,MATCH(C534,'Produtos'!$A$5:$A$204,0))+SUMIFS($F$5:$F$1004,$C$5:$C$1004,C534,$E$5:$E$1004,"Entrada",$A$5:$A$1004,"&lt;="&amp;A534)-SUMIFS($F$5:$F$1004,$C$5:$C$1004,C534,$E$5:$E$1004,"Saída",$A$5:$A$1004,"&lt;="&amp;A534),""))</f>
        <v/>
      </c>
      <c r="J534" s="68">
        <f>IF(A534="","",A534+ROW()/100000)</f>
        <v/>
      </c>
    </row>
    <row r="535">
      <c r="A535" s="65" t="n"/>
      <c r="B535" s="58" t="n"/>
      <c r="C535" s="58" t="n"/>
      <c r="D535" s="66">
        <f>IF(C535="","",IFERROR(INDEX('Produtos'!$B$5:$B$204,MATCH(C535,'Produtos'!$A$5:$A$204,0)),"Código não cadastrado"))</f>
        <v/>
      </c>
      <c r="E535" s="58" t="n"/>
      <c r="F535" s="61" t="n"/>
      <c r="G535" s="59" t="n"/>
      <c r="H535" s="59" t="n"/>
      <c r="I535" s="67">
        <f>IF(OR(A535="",C535=""),"",IFERROR(INDEX('Produtos'!$F$5:$F$204,MATCH(C535,'Produtos'!$A$5:$A$204,0))+SUMIFS($F$5:$F$1004,$C$5:$C$1004,C535,$E$5:$E$1004,"Entrada",$A$5:$A$1004,"&lt;="&amp;A535)-SUMIFS($F$5:$F$1004,$C$5:$C$1004,C535,$E$5:$E$1004,"Saída",$A$5:$A$1004,"&lt;="&amp;A535),""))</f>
        <v/>
      </c>
      <c r="J535" s="68">
        <f>IF(A535="","",A535+ROW()/100000)</f>
        <v/>
      </c>
    </row>
    <row r="536">
      <c r="A536" s="65" t="n"/>
      <c r="B536" s="58" t="n"/>
      <c r="C536" s="58" t="n"/>
      <c r="D536" s="66">
        <f>IF(C536="","",IFERROR(INDEX('Produtos'!$B$5:$B$204,MATCH(C536,'Produtos'!$A$5:$A$204,0)),"Código não cadastrado"))</f>
        <v/>
      </c>
      <c r="E536" s="58" t="n"/>
      <c r="F536" s="61" t="n"/>
      <c r="G536" s="59" t="n"/>
      <c r="H536" s="59" t="n"/>
      <c r="I536" s="67">
        <f>IF(OR(A536="",C536=""),"",IFERROR(INDEX('Produtos'!$F$5:$F$204,MATCH(C536,'Produtos'!$A$5:$A$204,0))+SUMIFS($F$5:$F$1004,$C$5:$C$1004,C536,$E$5:$E$1004,"Entrada",$A$5:$A$1004,"&lt;="&amp;A536)-SUMIFS($F$5:$F$1004,$C$5:$C$1004,C536,$E$5:$E$1004,"Saída",$A$5:$A$1004,"&lt;="&amp;A536),""))</f>
        <v/>
      </c>
      <c r="J536" s="68">
        <f>IF(A536="","",A536+ROW()/100000)</f>
        <v/>
      </c>
    </row>
    <row r="537">
      <c r="A537" s="65" t="n"/>
      <c r="B537" s="58" t="n"/>
      <c r="C537" s="58" t="n"/>
      <c r="D537" s="66">
        <f>IF(C537="","",IFERROR(INDEX('Produtos'!$B$5:$B$204,MATCH(C537,'Produtos'!$A$5:$A$204,0)),"Código não cadastrado"))</f>
        <v/>
      </c>
      <c r="E537" s="58" t="n"/>
      <c r="F537" s="61" t="n"/>
      <c r="G537" s="59" t="n"/>
      <c r="H537" s="59" t="n"/>
      <c r="I537" s="67">
        <f>IF(OR(A537="",C537=""),"",IFERROR(INDEX('Produtos'!$F$5:$F$204,MATCH(C537,'Produtos'!$A$5:$A$204,0))+SUMIFS($F$5:$F$1004,$C$5:$C$1004,C537,$E$5:$E$1004,"Entrada",$A$5:$A$1004,"&lt;="&amp;A537)-SUMIFS($F$5:$F$1004,$C$5:$C$1004,C537,$E$5:$E$1004,"Saída",$A$5:$A$1004,"&lt;="&amp;A537),""))</f>
        <v/>
      </c>
      <c r="J537" s="68">
        <f>IF(A537="","",A537+ROW()/100000)</f>
        <v/>
      </c>
    </row>
    <row r="538">
      <c r="A538" s="65" t="n"/>
      <c r="B538" s="58" t="n"/>
      <c r="C538" s="58" t="n"/>
      <c r="D538" s="66">
        <f>IF(C538="","",IFERROR(INDEX('Produtos'!$B$5:$B$204,MATCH(C538,'Produtos'!$A$5:$A$204,0)),"Código não cadastrado"))</f>
        <v/>
      </c>
      <c r="E538" s="58" t="n"/>
      <c r="F538" s="61" t="n"/>
      <c r="G538" s="59" t="n"/>
      <c r="H538" s="59" t="n"/>
      <c r="I538" s="67">
        <f>IF(OR(A538="",C538=""),"",IFERROR(INDEX('Produtos'!$F$5:$F$204,MATCH(C538,'Produtos'!$A$5:$A$204,0))+SUMIFS($F$5:$F$1004,$C$5:$C$1004,C538,$E$5:$E$1004,"Entrada",$A$5:$A$1004,"&lt;="&amp;A538)-SUMIFS($F$5:$F$1004,$C$5:$C$1004,C538,$E$5:$E$1004,"Saída",$A$5:$A$1004,"&lt;="&amp;A538),""))</f>
        <v/>
      </c>
      <c r="J538" s="68">
        <f>IF(A538="","",A538+ROW()/100000)</f>
        <v/>
      </c>
    </row>
    <row r="539">
      <c r="A539" s="65" t="n"/>
      <c r="B539" s="58" t="n"/>
      <c r="C539" s="58" t="n"/>
      <c r="D539" s="66">
        <f>IF(C539="","",IFERROR(INDEX('Produtos'!$B$5:$B$204,MATCH(C539,'Produtos'!$A$5:$A$204,0)),"Código não cadastrado"))</f>
        <v/>
      </c>
      <c r="E539" s="58" t="n"/>
      <c r="F539" s="61" t="n"/>
      <c r="G539" s="59" t="n"/>
      <c r="H539" s="59" t="n"/>
      <c r="I539" s="67">
        <f>IF(OR(A539="",C539=""),"",IFERROR(INDEX('Produtos'!$F$5:$F$204,MATCH(C539,'Produtos'!$A$5:$A$204,0))+SUMIFS($F$5:$F$1004,$C$5:$C$1004,C539,$E$5:$E$1004,"Entrada",$A$5:$A$1004,"&lt;="&amp;A539)-SUMIFS($F$5:$F$1004,$C$5:$C$1004,C539,$E$5:$E$1004,"Saída",$A$5:$A$1004,"&lt;="&amp;A539),""))</f>
        <v/>
      </c>
      <c r="J539" s="68">
        <f>IF(A539="","",A539+ROW()/100000)</f>
        <v/>
      </c>
    </row>
    <row r="540">
      <c r="A540" s="65" t="n"/>
      <c r="B540" s="58" t="n"/>
      <c r="C540" s="58" t="n"/>
      <c r="D540" s="66">
        <f>IF(C540="","",IFERROR(INDEX('Produtos'!$B$5:$B$204,MATCH(C540,'Produtos'!$A$5:$A$204,0)),"Código não cadastrado"))</f>
        <v/>
      </c>
      <c r="E540" s="58" t="n"/>
      <c r="F540" s="61" t="n"/>
      <c r="G540" s="59" t="n"/>
      <c r="H540" s="59" t="n"/>
      <c r="I540" s="67">
        <f>IF(OR(A540="",C540=""),"",IFERROR(INDEX('Produtos'!$F$5:$F$204,MATCH(C540,'Produtos'!$A$5:$A$204,0))+SUMIFS($F$5:$F$1004,$C$5:$C$1004,C540,$E$5:$E$1004,"Entrada",$A$5:$A$1004,"&lt;="&amp;A540)-SUMIFS($F$5:$F$1004,$C$5:$C$1004,C540,$E$5:$E$1004,"Saída",$A$5:$A$1004,"&lt;="&amp;A540),""))</f>
        <v/>
      </c>
      <c r="J540" s="68">
        <f>IF(A540="","",A540+ROW()/100000)</f>
        <v/>
      </c>
    </row>
    <row r="541">
      <c r="A541" s="65" t="n"/>
      <c r="B541" s="58" t="n"/>
      <c r="C541" s="58" t="n"/>
      <c r="D541" s="66">
        <f>IF(C541="","",IFERROR(INDEX('Produtos'!$B$5:$B$204,MATCH(C541,'Produtos'!$A$5:$A$204,0)),"Código não cadastrado"))</f>
        <v/>
      </c>
      <c r="E541" s="58" t="n"/>
      <c r="F541" s="61" t="n"/>
      <c r="G541" s="59" t="n"/>
      <c r="H541" s="59" t="n"/>
      <c r="I541" s="67">
        <f>IF(OR(A541="",C541=""),"",IFERROR(INDEX('Produtos'!$F$5:$F$204,MATCH(C541,'Produtos'!$A$5:$A$204,0))+SUMIFS($F$5:$F$1004,$C$5:$C$1004,C541,$E$5:$E$1004,"Entrada",$A$5:$A$1004,"&lt;="&amp;A541)-SUMIFS($F$5:$F$1004,$C$5:$C$1004,C541,$E$5:$E$1004,"Saída",$A$5:$A$1004,"&lt;="&amp;A541),""))</f>
        <v/>
      </c>
      <c r="J541" s="68">
        <f>IF(A541="","",A541+ROW()/100000)</f>
        <v/>
      </c>
    </row>
    <row r="542">
      <c r="A542" s="65" t="n"/>
      <c r="B542" s="58" t="n"/>
      <c r="C542" s="58" t="n"/>
      <c r="D542" s="66">
        <f>IF(C542="","",IFERROR(INDEX('Produtos'!$B$5:$B$204,MATCH(C542,'Produtos'!$A$5:$A$204,0)),"Código não cadastrado"))</f>
        <v/>
      </c>
      <c r="E542" s="58" t="n"/>
      <c r="F542" s="61" t="n"/>
      <c r="G542" s="59" t="n"/>
      <c r="H542" s="59" t="n"/>
      <c r="I542" s="67">
        <f>IF(OR(A542="",C542=""),"",IFERROR(INDEX('Produtos'!$F$5:$F$204,MATCH(C542,'Produtos'!$A$5:$A$204,0))+SUMIFS($F$5:$F$1004,$C$5:$C$1004,C542,$E$5:$E$1004,"Entrada",$A$5:$A$1004,"&lt;="&amp;A542)-SUMIFS($F$5:$F$1004,$C$5:$C$1004,C542,$E$5:$E$1004,"Saída",$A$5:$A$1004,"&lt;="&amp;A542),""))</f>
        <v/>
      </c>
      <c r="J542" s="68">
        <f>IF(A542="","",A542+ROW()/100000)</f>
        <v/>
      </c>
    </row>
    <row r="543">
      <c r="A543" s="65" t="n"/>
      <c r="B543" s="58" t="n"/>
      <c r="C543" s="58" t="n"/>
      <c r="D543" s="66">
        <f>IF(C543="","",IFERROR(INDEX('Produtos'!$B$5:$B$204,MATCH(C543,'Produtos'!$A$5:$A$204,0)),"Código não cadastrado"))</f>
        <v/>
      </c>
      <c r="E543" s="58" t="n"/>
      <c r="F543" s="61" t="n"/>
      <c r="G543" s="59" t="n"/>
      <c r="H543" s="59" t="n"/>
      <c r="I543" s="67">
        <f>IF(OR(A543="",C543=""),"",IFERROR(INDEX('Produtos'!$F$5:$F$204,MATCH(C543,'Produtos'!$A$5:$A$204,0))+SUMIFS($F$5:$F$1004,$C$5:$C$1004,C543,$E$5:$E$1004,"Entrada",$A$5:$A$1004,"&lt;="&amp;A543)-SUMIFS($F$5:$F$1004,$C$5:$C$1004,C543,$E$5:$E$1004,"Saída",$A$5:$A$1004,"&lt;="&amp;A543),""))</f>
        <v/>
      </c>
      <c r="J543" s="68">
        <f>IF(A543="","",A543+ROW()/100000)</f>
        <v/>
      </c>
    </row>
    <row r="544">
      <c r="A544" s="65" t="n"/>
      <c r="B544" s="58" t="n"/>
      <c r="C544" s="58" t="n"/>
      <c r="D544" s="66">
        <f>IF(C544="","",IFERROR(INDEX('Produtos'!$B$5:$B$204,MATCH(C544,'Produtos'!$A$5:$A$204,0)),"Código não cadastrado"))</f>
        <v/>
      </c>
      <c r="E544" s="58" t="n"/>
      <c r="F544" s="61" t="n"/>
      <c r="G544" s="59" t="n"/>
      <c r="H544" s="59" t="n"/>
      <c r="I544" s="67">
        <f>IF(OR(A544="",C544=""),"",IFERROR(INDEX('Produtos'!$F$5:$F$204,MATCH(C544,'Produtos'!$A$5:$A$204,0))+SUMIFS($F$5:$F$1004,$C$5:$C$1004,C544,$E$5:$E$1004,"Entrada",$A$5:$A$1004,"&lt;="&amp;A544)-SUMIFS($F$5:$F$1004,$C$5:$C$1004,C544,$E$5:$E$1004,"Saída",$A$5:$A$1004,"&lt;="&amp;A544),""))</f>
        <v/>
      </c>
      <c r="J544" s="68">
        <f>IF(A544="","",A544+ROW()/100000)</f>
        <v/>
      </c>
    </row>
    <row r="545">
      <c r="A545" s="65" t="n"/>
      <c r="B545" s="58" t="n"/>
      <c r="C545" s="58" t="n"/>
      <c r="D545" s="66">
        <f>IF(C545="","",IFERROR(INDEX('Produtos'!$B$5:$B$204,MATCH(C545,'Produtos'!$A$5:$A$204,0)),"Código não cadastrado"))</f>
        <v/>
      </c>
      <c r="E545" s="58" t="n"/>
      <c r="F545" s="61" t="n"/>
      <c r="G545" s="59" t="n"/>
      <c r="H545" s="59" t="n"/>
      <c r="I545" s="67">
        <f>IF(OR(A545="",C545=""),"",IFERROR(INDEX('Produtos'!$F$5:$F$204,MATCH(C545,'Produtos'!$A$5:$A$204,0))+SUMIFS($F$5:$F$1004,$C$5:$C$1004,C545,$E$5:$E$1004,"Entrada",$A$5:$A$1004,"&lt;="&amp;A545)-SUMIFS($F$5:$F$1004,$C$5:$C$1004,C545,$E$5:$E$1004,"Saída",$A$5:$A$1004,"&lt;="&amp;A545),""))</f>
        <v/>
      </c>
      <c r="J545" s="68">
        <f>IF(A545="","",A545+ROW()/100000)</f>
        <v/>
      </c>
    </row>
    <row r="546">
      <c r="A546" s="65" t="n"/>
      <c r="B546" s="58" t="n"/>
      <c r="C546" s="58" t="n"/>
      <c r="D546" s="66">
        <f>IF(C546="","",IFERROR(INDEX('Produtos'!$B$5:$B$204,MATCH(C546,'Produtos'!$A$5:$A$204,0)),"Código não cadastrado"))</f>
        <v/>
      </c>
      <c r="E546" s="58" t="n"/>
      <c r="F546" s="61" t="n"/>
      <c r="G546" s="59" t="n"/>
      <c r="H546" s="59" t="n"/>
      <c r="I546" s="67">
        <f>IF(OR(A546="",C546=""),"",IFERROR(INDEX('Produtos'!$F$5:$F$204,MATCH(C546,'Produtos'!$A$5:$A$204,0))+SUMIFS($F$5:$F$1004,$C$5:$C$1004,C546,$E$5:$E$1004,"Entrada",$A$5:$A$1004,"&lt;="&amp;A546)-SUMIFS($F$5:$F$1004,$C$5:$C$1004,C546,$E$5:$E$1004,"Saída",$A$5:$A$1004,"&lt;="&amp;A546),""))</f>
        <v/>
      </c>
      <c r="J546" s="68">
        <f>IF(A546="","",A546+ROW()/100000)</f>
        <v/>
      </c>
    </row>
    <row r="547">
      <c r="A547" s="65" t="n"/>
      <c r="B547" s="58" t="n"/>
      <c r="C547" s="58" t="n"/>
      <c r="D547" s="66">
        <f>IF(C547="","",IFERROR(INDEX('Produtos'!$B$5:$B$204,MATCH(C547,'Produtos'!$A$5:$A$204,0)),"Código não cadastrado"))</f>
        <v/>
      </c>
      <c r="E547" s="58" t="n"/>
      <c r="F547" s="61" t="n"/>
      <c r="G547" s="59" t="n"/>
      <c r="H547" s="59" t="n"/>
      <c r="I547" s="67">
        <f>IF(OR(A547="",C547=""),"",IFERROR(INDEX('Produtos'!$F$5:$F$204,MATCH(C547,'Produtos'!$A$5:$A$204,0))+SUMIFS($F$5:$F$1004,$C$5:$C$1004,C547,$E$5:$E$1004,"Entrada",$A$5:$A$1004,"&lt;="&amp;A547)-SUMIFS($F$5:$F$1004,$C$5:$C$1004,C547,$E$5:$E$1004,"Saída",$A$5:$A$1004,"&lt;="&amp;A547),""))</f>
        <v/>
      </c>
      <c r="J547" s="68">
        <f>IF(A547="","",A547+ROW()/100000)</f>
        <v/>
      </c>
    </row>
    <row r="548">
      <c r="A548" s="65" t="n"/>
      <c r="B548" s="58" t="n"/>
      <c r="C548" s="58" t="n"/>
      <c r="D548" s="66">
        <f>IF(C548="","",IFERROR(INDEX('Produtos'!$B$5:$B$204,MATCH(C548,'Produtos'!$A$5:$A$204,0)),"Código não cadastrado"))</f>
        <v/>
      </c>
      <c r="E548" s="58" t="n"/>
      <c r="F548" s="61" t="n"/>
      <c r="G548" s="59" t="n"/>
      <c r="H548" s="59" t="n"/>
      <c r="I548" s="67">
        <f>IF(OR(A548="",C548=""),"",IFERROR(INDEX('Produtos'!$F$5:$F$204,MATCH(C548,'Produtos'!$A$5:$A$204,0))+SUMIFS($F$5:$F$1004,$C$5:$C$1004,C548,$E$5:$E$1004,"Entrada",$A$5:$A$1004,"&lt;="&amp;A548)-SUMIFS($F$5:$F$1004,$C$5:$C$1004,C548,$E$5:$E$1004,"Saída",$A$5:$A$1004,"&lt;="&amp;A548),""))</f>
        <v/>
      </c>
      <c r="J548" s="68">
        <f>IF(A548="","",A548+ROW()/100000)</f>
        <v/>
      </c>
    </row>
    <row r="549">
      <c r="A549" s="65" t="n"/>
      <c r="B549" s="58" t="n"/>
      <c r="C549" s="58" t="n"/>
      <c r="D549" s="66">
        <f>IF(C549="","",IFERROR(INDEX('Produtos'!$B$5:$B$204,MATCH(C549,'Produtos'!$A$5:$A$204,0)),"Código não cadastrado"))</f>
        <v/>
      </c>
      <c r="E549" s="58" t="n"/>
      <c r="F549" s="61" t="n"/>
      <c r="G549" s="59" t="n"/>
      <c r="H549" s="59" t="n"/>
      <c r="I549" s="67">
        <f>IF(OR(A549="",C549=""),"",IFERROR(INDEX('Produtos'!$F$5:$F$204,MATCH(C549,'Produtos'!$A$5:$A$204,0))+SUMIFS($F$5:$F$1004,$C$5:$C$1004,C549,$E$5:$E$1004,"Entrada",$A$5:$A$1004,"&lt;="&amp;A549)-SUMIFS($F$5:$F$1004,$C$5:$C$1004,C549,$E$5:$E$1004,"Saída",$A$5:$A$1004,"&lt;="&amp;A549),""))</f>
        <v/>
      </c>
      <c r="J549" s="68">
        <f>IF(A549="","",A549+ROW()/100000)</f>
        <v/>
      </c>
    </row>
    <row r="550">
      <c r="A550" s="65" t="n"/>
      <c r="B550" s="58" t="n"/>
      <c r="C550" s="58" t="n"/>
      <c r="D550" s="66">
        <f>IF(C550="","",IFERROR(INDEX('Produtos'!$B$5:$B$204,MATCH(C550,'Produtos'!$A$5:$A$204,0)),"Código não cadastrado"))</f>
        <v/>
      </c>
      <c r="E550" s="58" t="n"/>
      <c r="F550" s="61" t="n"/>
      <c r="G550" s="59" t="n"/>
      <c r="H550" s="59" t="n"/>
      <c r="I550" s="67">
        <f>IF(OR(A550="",C550=""),"",IFERROR(INDEX('Produtos'!$F$5:$F$204,MATCH(C550,'Produtos'!$A$5:$A$204,0))+SUMIFS($F$5:$F$1004,$C$5:$C$1004,C550,$E$5:$E$1004,"Entrada",$A$5:$A$1004,"&lt;="&amp;A550)-SUMIFS($F$5:$F$1004,$C$5:$C$1004,C550,$E$5:$E$1004,"Saída",$A$5:$A$1004,"&lt;="&amp;A550),""))</f>
        <v/>
      </c>
      <c r="J550" s="68">
        <f>IF(A550="","",A550+ROW()/100000)</f>
        <v/>
      </c>
    </row>
    <row r="551">
      <c r="A551" s="65" t="n"/>
      <c r="B551" s="58" t="n"/>
      <c r="C551" s="58" t="n"/>
      <c r="D551" s="66">
        <f>IF(C551="","",IFERROR(INDEX('Produtos'!$B$5:$B$204,MATCH(C551,'Produtos'!$A$5:$A$204,0)),"Código não cadastrado"))</f>
        <v/>
      </c>
      <c r="E551" s="58" t="n"/>
      <c r="F551" s="61" t="n"/>
      <c r="G551" s="59" t="n"/>
      <c r="H551" s="59" t="n"/>
      <c r="I551" s="67">
        <f>IF(OR(A551="",C551=""),"",IFERROR(INDEX('Produtos'!$F$5:$F$204,MATCH(C551,'Produtos'!$A$5:$A$204,0))+SUMIFS($F$5:$F$1004,$C$5:$C$1004,C551,$E$5:$E$1004,"Entrada",$A$5:$A$1004,"&lt;="&amp;A551)-SUMIFS($F$5:$F$1004,$C$5:$C$1004,C551,$E$5:$E$1004,"Saída",$A$5:$A$1004,"&lt;="&amp;A551),""))</f>
        <v/>
      </c>
      <c r="J551" s="68">
        <f>IF(A551="","",A551+ROW()/100000)</f>
        <v/>
      </c>
    </row>
    <row r="552">
      <c r="A552" s="65" t="n"/>
      <c r="B552" s="58" t="n"/>
      <c r="C552" s="58" t="n"/>
      <c r="D552" s="66">
        <f>IF(C552="","",IFERROR(INDEX('Produtos'!$B$5:$B$204,MATCH(C552,'Produtos'!$A$5:$A$204,0)),"Código não cadastrado"))</f>
        <v/>
      </c>
      <c r="E552" s="58" t="n"/>
      <c r="F552" s="61" t="n"/>
      <c r="G552" s="59" t="n"/>
      <c r="H552" s="59" t="n"/>
      <c r="I552" s="67">
        <f>IF(OR(A552="",C552=""),"",IFERROR(INDEX('Produtos'!$F$5:$F$204,MATCH(C552,'Produtos'!$A$5:$A$204,0))+SUMIFS($F$5:$F$1004,$C$5:$C$1004,C552,$E$5:$E$1004,"Entrada",$A$5:$A$1004,"&lt;="&amp;A552)-SUMIFS($F$5:$F$1004,$C$5:$C$1004,C552,$E$5:$E$1004,"Saída",$A$5:$A$1004,"&lt;="&amp;A552),""))</f>
        <v/>
      </c>
      <c r="J552" s="68">
        <f>IF(A552="","",A552+ROW()/100000)</f>
        <v/>
      </c>
    </row>
    <row r="553">
      <c r="A553" s="65" t="n"/>
      <c r="B553" s="58" t="n"/>
      <c r="C553" s="58" t="n"/>
      <c r="D553" s="66">
        <f>IF(C553="","",IFERROR(INDEX('Produtos'!$B$5:$B$204,MATCH(C553,'Produtos'!$A$5:$A$204,0)),"Código não cadastrado"))</f>
        <v/>
      </c>
      <c r="E553" s="58" t="n"/>
      <c r="F553" s="61" t="n"/>
      <c r="G553" s="59" t="n"/>
      <c r="H553" s="59" t="n"/>
      <c r="I553" s="67">
        <f>IF(OR(A553="",C553=""),"",IFERROR(INDEX('Produtos'!$F$5:$F$204,MATCH(C553,'Produtos'!$A$5:$A$204,0))+SUMIFS($F$5:$F$1004,$C$5:$C$1004,C553,$E$5:$E$1004,"Entrada",$A$5:$A$1004,"&lt;="&amp;A553)-SUMIFS($F$5:$F$1004,$C$5:$C$1004,C553,$E$5:$E$1004,"Saída",$A$5:$A$1004,"&lt;="&amp;A553),""))</f>
        <v/>
      </c>
      <c r="J553" s="68">
        <f>IF(A553="","",A553+ROW()/100000)</f>
        <v/>
      </c>
    </row>
    <row r="554">
      <c r="A554" s="65" t="n"/>
      <c r="B554" s="58" t="n"/>
      <c r="C554" s="58" t="n"/>
      <c r="D554" s="66">
        <f>IF(C554="","",IFERROR(INDEX('Produtos'!$B$5:$B$204,MATCH(C554,'Produtos'!$A$5:$A$204,0)),"Código não cadastrado"))</f>
        <v/>
      </c>
      <c r="E554" s="58" t="n"/>
      <c r="F554" s="61" t="n"/>
      <c r="G554" s="59" t="n"/>
      <c r="H554" s="59" t="n"/>
      <c r="I554" s="67">
        <f>IF(OR(A554="",C554=""),"",IFERROR(INDEX('Produtos'!$F$5:$F$204,MATCH(C554,'Produtos'!$A$5:$A$204,0))+SUMIFS($F$5:$F$1004,$C$5:$C$1004,C554,$E$5:$E$1004,"Entrada",$A$5:$A$1004,"&lt;="&amp;A554)-SUMIFS($F$5:$F$1004,$C$5:$C$1004,C554,$E$5:$E$1004,"Saída",$A$5:$A$1004,"&lt;="&amp;A554),""))</f>
        <v/>
      </c>
      <c r="J554" s="68">
        <f>IF(A554="","",A554+ROW()/100000)</f>
        <v/>
      </c>
    </row>
    <row r="555">
      <c r="A555" s="65" t="n"/>
      <c r="B555" s="58" t="n"/>
      <c r="C555" s="58" t="n"/>
      <c r="D555" s="66">
        <f>IF(C555="","",IFERROR(INDEX('Produtos'!$B$5:$B$204,MATCH(C555,'Produtos'!$A$5:$A$204,0)),"Código não cadastrado"))</f>
        <v/>
      </c>
      <c r="E555" s="58" t="n"/>
      <c r="F555" s="61" t="n"/>
      <c r="G555" s="59" t="n"/>
      <c r="H555" s="59" t="n"/>
      <c r="I555" s="67">
        <f>IF(OR(A555="",C555=""),"",IFERROR(INDEX('Produtos'!$F$5:$F$204,MATCH(C555,'Produtos'!$A$5:$A$204,0))+SUMIFS($F$5:$F$1004,$C$5:$C$1004,C555,$E$5:$E$1004,"Entrada",$A$5:$A$1004,"&lt;="&amp;A555)-SUMIFS($F$5:$F$1004,$C$5:$C$1004,C555,$E$5:$E$1004,"Saída",$A$5:$A$1004,"&lt;="&amp;A555),""))</f>
        <v/>
      </c>
      <c r="J555" s="68">
        <f>IF(A555="","",A555+ROW()/100000)</f>
        <v/>
      </c>
    </row>
    <row r="556">
      <c r="A556" s="65" t="n"/>
      <c r="B556" s="58" t="n"/>
      <c r="C556" s="58" t="n"/>
      <c r="D556" s="66">
        <f>IF(C556="","",IFERROR(INDEX('Produtos'!$B$5:$B$204,MATCH(C556,'Produtos'!$A$5:$A$204,0)),"Código não cadastrado"))</f>
        <v/>
      </c>
      <c r="E556" s="58" t="n"/>
      <c r="F556" s="61" t="n"/>
      <c r="G556" s="59" t="n"/>
      <c r="H556" s="59" t="n"/>
      <c r="I556" s="67">
        <f>IF(OR(A556="",C556=""),"",IFERROR(INDEX('Produtos'!$F$5:$F$204,MATCH(C556,'Produtos'!$A$5:$A$204,0))+SUMIFS($F$5:$F$1004,$C$5:$C$1004,C556,$E$5:$E$1004,"Entrada",$A$5:$A$1004,"&lt;="&amp;A556)-SUMIFS($F$5:$F$1004,$C$5:$C$1004,C556,$E$5:$E$1004,"Saída",$A$5:$A$1004,"&lt;="&amp;A556),""))</f>
        <v/>
      </c>
      <c r="J556" s="68">
        <f>IF(A556="","",A556+ROW()/100000)</f>
        <v/>
      </c>
    </row>
    <row r="557">
      <c r="A557" s="65" t="n"/>
      <c r="B557" s="58" t="n"/>
      <c r="C557" s="58" t="n"/>
      <c r="D557" s="66">
        <f>IF(C557="","",IFERROR(INDEX('Produtos'!$B$5:$B$204,MATCH(C557,'Produtos'!$A$5:$A$204,0)),"Código não cadastrado"))</f>
        <v/>
      </c>
      <c r="E557" s="58" t="n"/>
      <c r="F557" s="61" t="n"/>
      <c r="G557" s="59" t="n"/>
      <c r="H557" s="59" t="n"/>
      <c r="I557" s="67">
        <f>IF(OR(A557="",C557=""),"",IFERROR(INDEX('Produtos'!$F$5:$F$204,MATCH(C557,'Produtos'!$A$5:$A$204,0))+SUMIFS($F$5:$F$1004,$C$5:$C$1004,C557,$E$5:$E$1004,"Entrada",$A$5:$A$1004,"&lt;="&amp;A557)-SUMIFS($F$5:$F$1004,$C$5:$C$1004,C557,$E$5:$E$1004,"Saída",$A$5:$A$1004,"&lt;="&amp;A557),""))</f>
        <v/>
      </c>
      <c r="J557" s="68">
        <f>IF(A557="","",A557+ROW()/100000)</f>
        <v/>
      </c>
    </row>
    <row r="558">
      <c r="A558" s="65" t="n"/>
      <c r="B558" s="58" t="n"/>
      <c r="C558" s="58" t="n"/>
      <c r="D558" s="66">
        <f>IF(C558="","",IFERROR(INDEX('Produtos'!$B$5:$B$204,MATCH(C558,'Produtos'!$A$5:$A$204,0)),"Código não cadastrado"))</f>
        <v/>
      </c>
      <c r="E558" s="58" t="n"/>
      <c r="F558" s="61" t="n"/>
      <c r="G558" s="59" t="n"/>
      <c r="H558" s="59" t="n"/>
      <c r="I558" s="67">
        <f>IF(OR(A558="",C558=""),"",IFERROR(INDEX('Produtos'!$F$5:$F$204,MATCH(C558,'Produtos'!$A$5:$A$204,0))+SUMIFS($F$5:$F$1004,$C$5:$C$1004,C558,$E$5:$E$1004,"Entrada",$A$5:$A$1004,"&lt;="&amp;A558)-SUMIFS($F$5:$F$1004,$C$5:$C$1004,C558,$E$5:$E$1004,"Saída",$A$5:$A$1004,"&lt;="&amp;A558),""))</f>
        <v/>
      </c>
      <c r="J558" s="68">
        <f>IF(A558="","",A558+ROW()/100000)</f>
        <v/>
      </c>
    </row>
    <row r="559">
      <c r="A559" s="65" t="n"/>
      <c r="B559" s="58" t="n"/>
      <c r="C559" s="58" t="n"/>
      <c r="D559" s="66">
        <f>IF(C559="","",IFERROR(INDEX('Produtos'!$B$5:$B$204,MATCH(C559,'Produtos'!$A$5:$A$204,0)),"Código não cadastrado"))</f>
        <v/>
      </c>
      <c r="E559" s="58" t="n"/>
      <c r="F559" s="61" t="n"/>
      <c r="G559" s="59" t="n"/>
      <c r="H559" s="59" t="n"/>
      <c r="I559" s="67">
        <f>IF(OR(A559="",C559=""),"",IFERROR(INDEX('Produtos'!$F$5:$F$204,MATCH(C559,'Produtos'!$A$5:$A$204,0))+SUMIFS($F$5:$F$1004,$C$5:$C$1004,C559,$E$5:$E$1004,"Entrada",$A$5:$A$1004,"&lt;="&amp;A559)-SUMIFS($F$5:$F$1004,$C$5:$C$1004,C559,$E$5:$E$1004,"Saída",$A$5:$A$1004,"&lt;="&amp;A559),""))</f>
        <v/>
      </c>
      <c r="J559" s="68">
        <f>IF(A559="","",A559+ROW()/100000)</f>
        <v/>
      </c>
    </row>
    <row r="560">
      <c r="A560" s="65" t="n"/>
      <c r="B560" s="58" t="n"/>
      <c r="C560" s="58" t="n"/>
      <c r="D560" s="66">
        <f>IF(C560="","",IFERROR(INDEX('Produtos'!$B$5:$B$204,MATCH(C560,'Produtos'!$A$5:$A$204,0)),"Código não cadastrado"))</f>
        <v/>
      </c>
      <c r="E560" s="58" t="n"/>
      <c r="F560" s="61" t="n"/>
      <c r="G560" s="59" t="n"/>
      <c r="H560" s="59" t="n"/>
      <c r="I560" s="67">
        <f>IF(OR(A560="",C560=""),"",IFERROR(INDEX('Produtos'!$F$5:$F$204,MATCH(C560,'Produtos'!$A$5:$A$204,0))+SUMIFS($F$5:$F$1004,$C$5:$C$1004,C560,$E$5:$E$1004,"Entrada",$A$5:$A$1004,"&lt;="&amp;A560)-SUMIFS($F$5:$F$1004,$C$5:$C$1004,C560,$E$5:$E$1004,"Saída",$A$5:$A$1004,"&lt;="&amp;A560),""))</f>
        <v/>
      </c>
      <c r="J560" s="68">
        <f>IF(A560="","",A560+ROW()/100000)</f>
        <v/>
      </c>
    </row>
    <row r="561">
      <c r="A561" s="65" t="n"/>
      <c r="B561" s="58" t="n"/>
      <c r="C561" s="58" t="n"/>
      <c r="D561" s="66">
        <f>IF(C561="","",IFERROR(INDEX('Produtos'!$B$5:$B$204,MATCH(C561,'Produtos'!$A$5:$A$204,0)),"Código não cadastrado"))</f>
        <v/>
      </c>
      <c r="E561" s="58" t="n"/>
      <c r="F561" s="61" t="n"/>
      <c r="G561" s="59" t="n"/>
      <c r="H561" s="59" t="n"/>
      <c r="I561" s="67">
        <f>IF(OR(A561="",C561=""),"",IFERROR(INDEX('Produtos'!$F$5:$F$204,MATCH(C561,'Produtos'!$A$5:$A$204,0))+SUMIFS($F$5:$F$1004,$C$5:$C$1004,C561,$E$5:$E$1004,"Entrada",$A$5:$A$1004,"&lt;="&amp;A561)-SUMIFS($F$5:$F$1004,$C$5:$C$1004,C561,$E$5:$E$1004,"Saída",$A$5:$A$1004,"&lt;="&amp;A561),""))</f>
        <v/>
      </c>
      <c r="J561" s="68">
        <f>IF(A561="","",A561+ROW()/100000)</f>
        <v/>
      </c>
    </row>
    <row r="562">
      <c r="A562" s="65" t="n"/>
      <c r="B562" s="58" t="n"/>
      <c r="C562" s="58" t="n"/>
      <c r="D562" s="66">
        <f>IF(C562="","",IFERROR(INDEX('Produtos'!$B$5:$B$204,MATCH(C562,'Produtos'!$A$5:$A$204,0)),"Código não cadastrado"))</f>
        <v/>
      </c>
      <c r="E562" s="58" t="n"/>
      <c r="F562" s="61" t="n"/>
      <c r="G562" s="59" t="n"/>
      <c r="H562" s="59" t="n"/>
      <c r="I562" s="67">
        <f>IF(OR(A562="",C562=""),"",IFERROR(INDEX('Produtos'!$F$5:$F$204,MATCH(C562,'Produtos'!$A$5:$A$204,0))+SUMIFS($F$5:$F$1004,$C$5:$C$1004,C562,$E$5:$E$1004,"Entrada",$A$5:$A$1004,"&lt;="&amp;A562)-SUMIFS($F$5:$F$1004,$C$5:$C$1004,C562,$E$5:$E$1004,"Saída",$A$5:$A$1004,"&lt;="&amp;A562),""))</f>
        <v/>
      </c>
      <c r="J562" s="68">
        <f>IF(A562="","",A562+ROW()/100000)</f>
        <v/>
      </c>
    </row>
    <row r="563">
      <c r="A563" s="65" t="n"/>
      <c r="B563" s="58" t="n"/>
      <c r="C563" s="58" t="n"/>
      <c r="D563" s="66">
        <f>IF(C563="","",IFERROR(INDEX('Produtos'!$B$5:$B$204,MATCH(C563,'Produtos'!$A$5:$A$204,0)),"Código não cadastrado"))</f>
        <v/>
      </c>
      <c r="E563" s="58" t="n"/>
      <c r="F563" s="61" t="n"/>
      <c r="G563" s="59" t="n"/>
      <c r="H563" s="59" t="n"/>
      <c r="I563" s="67">
        <f>IF(OR(A563="",C563=""),"",IFERROR(INDEX('Produtos'!$F$5:$F$204,MATCH(C563,'Produtos'!$A$5:$A$204,0))+SUMIFS($F$5:$F$1004,$C$5:$C$1004,C563,$E$5:$E$1004,"Entrada",$A$5:$A$1004,"&lt;="&amp;A563)-SUMIFS($F$5:$F$1004,$C$5:$C$1004,C563,$E$5:$E$1004,"Saída",$A$5:$A$1004,"&lt;="&amp;A563),""))</f>
        <v/>
      </c>
      <c r="J563" s="68">
        <f>IF(A563="","",A563+ROW()/100000)</f>
        <v/>
      </c>
    </row>
    <row r="564">
      <c r="A564" s="65" t="n"/>
      <c r="B564" s="58" t="n"/>
      <c r="C564" s="58" t="n"/>
      <c r="D564" s="66">
        <f>IF(C564="","",IFERROR(INDEX('Produtos'!$B$5:$B$204,MATCH(C564,'Produtos'!$A$5:$A$204,0)),"Código não cadastrado"))</f>
        <v/>
      </c>
      <c r="E564" s="58" t="n"/>
      <c r="F564" s="61" t="n"/>
      <c r="G564" s="59" t="n"/>
      <c r="H564" s="59" t="n"/>
      <c r="I564" s="67">
        <f>IF(OR(A564="",C564=""),"",IFERROR(INDEX('Produtos'!$F$5:$F$204,MATCH(C564,'Produtos'!$A$5:$A$204,0))+SUMIFS($F$5:$F$1004,$C$5:$C$1004,C564,$E$5:$E$1004,"Entrada",$A$5:$A$1004,"&lt;="&amp;A564)-SUMIFS($F$5:$F$1004,$C$5:$C$1004,C564,$E$5:$E$1004,"Saída",$A$5:$A$1004,"&lt;="&amp;A564),""))</f>
        <v/>
      </c>
      <c r="J564" s="68">
        <f>IF(A564="","",A564+ROW()/100000)</f>
        <v/>
      </c>
    </row>
    <row r="565">
      <c r="A565" s="65" t="n"/>
      <c r="B565" s="58" t="n"/>
      <c r="C565" s="58" t="n"/>
      <c r="D565" s="66">
        <f>IF(C565="","",IFERROR(INDEX('Produtos'!$B$5:$B$204,MATCH(C565,'Produtos'!$A$5:$A$204,0)),"Código não cadastrado"))</f>
        <v/>
      </c>
      <c r="E565" s="58" t="n"/>
      <c r="F565" s="61" t="n"/>
      <c r="G565" s="59" t="n"/>
      <c r="H565" s="59" t="n"/>
      <c r="I565" s="67">
        <f>IF(OR(A565="",C565=""),"",IFERROR(INDEX('Produtos'!$F$5:$F$204,MATCH(C565,'Produtos'!$A$5:$A$204,0))+SUMIFS($F$5:$F$1004,$C$5:$C$1004,C565,$E$5:$E$1004,"Entrada",$A$5:$A$1004,"&lt;="&amp;A565)-SUMIFS($F$5:$F$1004,$C$5:$C$1004,C565,$E$5:$E$1004,"Saída",$A$5:$A$1004,"&lt;="&amp;A565),""))</f>
        <v/>
      </c>
      <c r="J565" s="68">
        <f>IF(A565="","",A565+ROW()/100000)</f>
        <v/>
      </c>
    </row>
    <row r="566">
      <c r="A566" s="65" t="n"/>
      <c r="B566" s="58" t="n"/>
      <c r="C566" s="58" t="n"/>
      <c r="D566" s="66">
        <f>IF(C566="","",IFERROR(INDEX('Produtos'!$B$5:$B$204,MATCH(C566,'Produtos'!$A$5:$A$204,0)),"Código não cadastrado"))</f>
        <v/>
      </c>
      <c r="E566" s="58" t="n"/>
      <c r="F566" s="61" t="n"/>
      <c r="G566" s="59" t="n"/>
      <c r="H566" s="59" t="n"/>
      <c r="I566" s="67">
        <f>IF(OR(A566="",C566=""),"",IFERROR(INDEX('Produtos'!$F$5:$F$204,MATCH(C566,'Produtos'!$A$5:$A$204,0))+SUMIFS($F$5:$F$1004,$C$5:$C$1004,C566,$E$5:$E$1004,"Entrada",$A$5:$A$1004,"&lt;="&amp;A566)-SUMIFS($F$5:$F$1004,$C$5:$C$1004,C566,$E$5:$E$1004,"Saída",$A$5:$A$1004,"&lt;="&amp;A566),""))</f>
        <v/>
      </c>
      <c r="J566" s="68">
        <f>IF(A566="","",A566+ROW()/100000)</f>
        <v/>
      </c>
    </row>
    <row r="567">
      <c r="A567" s="65" t="n"/>
      <c r="B567" s="58" t="n"/>
      <c r="C567" s="58" t="n"/>
      <c r="D567" s="66">
        <f>IF(C567="","",IFERROR(INDEX('Produtos'!$B$5:$B$204,MATCH(C567,'Produtos'!$A$5:$A$204,0)),"Código não cadastrado"))</f>
        <v/>
      </c>
      <c r="E567" s="58" t="n"/>
      <c r="F567" s="61" t="n"/>
      <c r="G567" s="59" t="n"/>
      <c r="H567" s="59" t="n"/>
      <c r="I567" s="67">
        <f>IF(OR(A567="",C567=""),"",IFERROR(INDEX('Produtos'!$F$5:$F$204,MATCH(C567,'Produtos'!$A$5:$A$204,0))+SUMIFS($F$5:$F$1004,$C$5:$C$1004,C567,$E$5:$E$1004,"Entrada",$A$5:$A$1004,"&lt;="&amp;A567)-SUMIFS($F$5:$F$1004,$C$5:$C$1004,C567,$E$5:$E$1004,"Saída",$A$5:$A$1004,"&lt;="&amp;A567),""))</f>
        <v/>
      </c>
      <c r="J567" s="68">
        <f>IF(A567="","",A567+ROW()/100000)</f>
        <v/>
      </c>
    </row>
    <row r="568">
      <c r="A568" s="65" t="n"/>
      <c r="B568" s="58" t="n"/>
      <c r="C568" s="58" t="n"/>
      <c r="D568" s="66">
        <f>IF(C568="","",IFERROR(INDEX('Produtos'!$B$5:$B$204,MATCH(C568,'Produtos'!$A$5:$A$204,0)),"Código não cadastrado"))</f>
        <v/>
      </c>
      <c r="E568" s="58" t="n"/>
      <c r="F568" s="61" t="n"/>
      <c r="G568" s="59" t="n"/>
      <c r="H568" s="59" t="n"/>
      <c r="I568" s="67">
        <f>IF(OR(A568="",C568=""),"",IFERROR(INDEX('Produtos'!$F$5:$F$204,MATCH(C568,'Produtos'!$A$5:$A$204,0))+SUMIFS($F$5:$F$1004,$C$5:$C$1004,C568,$E$5:$E$1004,"Entrada",$A$5:$A$1004,"&lt;="&amp;A568)-SUMIFS($F$5:$F$1004,$C$5:$C$1004,C568,$E$5:$E$1004,"Saída",$A$5:$A$1004,"&lt;="&amp;A568),""))</f>
        <v/>
      </c>
      <c r="J568" s="68">
        <f>IF(A568="","",A568+ROW()/100000)</f>
        <v/>
      </c>
    </row>
    <row r="569">
      <c r="A569" s="65" t="n"/>
      <c r="B569" s="58" t="n"/>
      <c r="C569" s="58" t="n"/>
      <c r="D569" s="66">
        <f>IF(C569="","",IFERROR(INDEX('Produtos'!$B$5:$B$204,MATCH(C569,'Produtos'!$A$5:$A$204,0)),"Código não cadastrado"))</f>
        <v/>
      </c>
      <c r="E569" s="58" t="n"/>
      <c r="F569" s="61" t="n"/>
      <c r="G569" s="59" t="n"/>
      <c r="H569" s="59" t="n"/>
      <c r="I569" s="67">
        <f>IF(OR(A569="",C569=""),"",IFERROR(INDEX('Produtos'!$F$5:$F$204,MATCH(C569,'Produtos'!$A$5:$A$204,0))+SUMIFS($F$5:$F$1004,$C$5:$C$1004,C569,$E$5:$E$1004,"Entrada",$A$5:$A$1004,"&lt;="&amp;A569)-SUMIFS($F$5:$F$1004,$C$5:$C$1004,C569,$E$5:$E$1004,"Saída",$A$5:$A$1004,"&lt;="&amp;A569),""))</f>
        <v/>
      </c>
      <c r="J569" s="68">
        <f>IF(A569="","",A569+ROW()/100000)</f>
        <v/>
      </c>
    </row>
    <row r="570">
      <c r="A570" s="65" t="n"/>
      <c r="B570" s="58" t="n"/>
      <c r="C570" s="58" t="n"/>
      <c r="D570" s="66">
        <f>IF(C570="","",IFERROR(INDEX('Produtos'!$B$5:$B$204,MATCH(C570,'Produtos'!$A$5:$A$204,0)),"Código não cadastrado"))</f>
        <v/>
      </c>
      <c r="E570" s="58" t="n"/>
      <c r="F570" s="61" t="n"/>
      <c r="G570" s="59" t="n"/>
      <c r="H570" s="59" t="n"/>
      <c r="I570" s="67">
        <f>IF(OR(A570="",C570=""),"",IFERROR(INDEX('Produtos'!$F$5:$F$204,MATCH(C570,'Produtos'!$A$5:$A$204,0))+SUMIFS($F$5:$F$1004,$C$5:$C$1004,C570,$E$5:$E$1004,"Entrada",$A$5:$A$1004,"&lt;="&amp;A570)-SUMIFS($F$5:$F$1004,$C$5:$C$1004,C570,$E$5:$E$1004,"Saída",$A$5:$A$1004,"&lt;="&amp;A570),""))</f>
        <v/>
      </c>
      <c r="J570" s="68">
        <f>IF(A570="","",A570+ROW()/100000)</f>
        <v/>
      </c>
    </row>
    <row r="571">
      <c r="A571" s="65" t="n"/>
      <c r="B571" s="58" t="n"/>
      <c r="C571" s="58" t="n"/>
      <c r="D571" s="66">
        <f>IF(C571="","",IFERROR(INDEX('Produtos'!$B$5:$B$204,MATCH(C571,'Produtos'!$A$5:$A$204,0)),"Código não cadastrado"))</f>
        <v/>
      </c>
      <c r="E571" s="58" t="n"/>
      <c r="F571" s="61" t="n"/>
      <c r="G571" s="59" t="n"/>
      <c r="H571" s="59" t="n"/>
      <c r="I571" s="67">
        <f>IF(OR(A571="",C571=""),"",IFERROR(INDEX('Produtos'!$F$5:$F$204,MATCH(C571,'Produtos'!$A$5:$A$204,0))+SUMIFS($F$5:$F$1004,$C$5:$C$1004,C571,$E$5:$E$1004,"Entrada",$A$5:$A$1004,"&lt;="&amp;A571)-SUMIFS($F$5:$F$1004,$C$5:$C$1004,C571,$E$5:$E$1004,"Saída",$A$5:$A$1004,"&lt;="&amp;A571),""))</f>
        <v/>
      </c>
      <c r="J571" s="68">
        <f>IF(A571="","",A571+ROW()/100000)</f>
        <v/>
      </c>
    </row>
    <row r="572">
      <c r="A572" s="65" t="n"/>
      <c r="B572" s="58" t="n"/>
      <c r="C572" s="58" t="n"/>
      <c r="D572" s="66">
        <f>IF(C572="","",IFERROR(INDEX('Produtos'!$B$5:$B$204,MATCH(C572,'Produtos'!$A$5:$A$204,0)),"Código não cadastrado"))</f>
        <v/>
      </c>
      <c r="E572" s="58" t="n"/>
      <c r="F572" s="61" t="n"/>
      <c r="G572" s="59" t="n"/>
      <c r="H572" s="59" t="n"/>
      <c r="I572" s="67">
        <f>IF(OR(A572="",C572=""),"",IFERROR(INDEX('Produtos'!$F$5:$F$204,MATCH(C572,'Produtos'!$A$5:$A$204,0))+SUMIFS($F$5:$F$1004,$C$5:$C$1004,C572,$E$5:$E$1004,"Entrada",$A$5:$A$1004,"&lt;="&amp;A572)-SUMIFS($F$5:$F$1004,$C$5:$C$1004,C572,$E$5:$E$1004,"Saída",$A$5:$A$1004,"&lt;="&amp;A572),""))</f>
        <v/>
      </c>
      <c r="J572" s="68">
        <f>IF(A572="","",A572+ROW()/100000)</f>
        <v/>
      </c>
    </row>
    <row r="573">
      <c r="A573" s="65" t="n"/>
      <c r="B573" s="58" t="n"/>
      <c r="C573" s="58" t="n"/>
      <c r="D573" s="66">
        <f>IF(C573="","",IFERROR(INDEX('Produtos'!$B$5:$B$204,MATCH(C573,'Produtos'!$A$5:$A$204,0)),"Código não cadastrado"))</f>
        <v/>
      </c>
      <c r="E573" s="58" t="n"/>
      <c r="F573" s="61" t="n"/>
      <c r="G573" s="59" t="n"/>
      <c r="H573" s="59" t="n"/>
      <c r="I573" s="67">
        <f>IF(OR(A573="",C573=""),"",IFERROR(INDEX('Produtos'!$F$5:$F$204,MATCH(C573,'Produtos'!$A$5:$A$204,0))+SUMIFS($F$5:$F$1004,$C$5:$C$1004,C573,$E$5:$E$1004,"Entrada",$A$5:$A$1004,"&lt;="&amp;A573)-SUMIFS($F$5:$F$1004,$C$5:$C$1004,C573,$E$5:$E$1004,"Saída",$A$5:$A$1004,"&lt;="&amp;A573),""))</f>
        <v/>
      </c>
      <c r="J573" s="68">
        <f>IF(A573="","",A573+ROW()/100000)</f>
        <v/>
      </c>
    </row>
    <row r="574">
      <c r="A574" s="65" t="n"/>
      <c r="B574" s="58" t="n"/>
      <c r="C574" s="58" t="n"/>
      <c r="D574" s="66">
        <f>IF(C574="","",IFERROR(INDEX('Produtos'!$B$5:$B$204,MATCH(C574,'Produtos'!$A$5:$A$204,0)),"Código não cadastrado"))</f>
        <v/>
      </c>
      <c r="E574" s="58" t="n"/>
      <c r="F574" s="61" t="n"/>
      <c r="G574" s="59" t="n"/>
      <c r="H574" s="59" t="n"/>
      <c r="I574" s="67">
        <f>IF(OR(A574="",C574=""),"",IFERROR(INDEX('Produtos'!$F$5:$F$204,MATCH(C574,'Produtos'!$A$5:$A$204,0))+SUMIFS($F$5:$F$1004,$C$5:$C$1004,C574,$E$5:$E$1004,"Entrada",$A$5:$A$1004,"&lt;="&amp;A574)-SUMIFS($F$5:$F$1004,$C$5:$C$1004,C574,$E$5:$E$1004,"Saída",$A$5:$A$1004,"&lt;="&amp;A574),""))</f>
        <v/>
      </c>
      <c r="J574" s="68">
        <f>IF(A574="","",A574+ROW()/100000)</f>
        <v/>
      </c>
    </row>
    <row r="575">
      <c r="A575" s="65" t="n"/>
      <c r="B575" s="58" t="n"/>
      <c r="C575" s="58" t="n"/>
      <c r="D575" s="66">
        <f>IF(C575="","",IFERROR(INDEX('Produtos'!$B$5:$B$204,MATCH(C575,'Produtos'!$A$5:$A$204,0)),"Código não cadastrado"))</f>
        <v/>
      </c>
      <c r="E575" s="58" t="n"/>
      <c r="F575" s="61" t="n"/>
      <c r="G575" s="59" t="n"/>
      <c r="H575" s="59" t="n"/>
      <c r="I575" s="67">
        <f>IF(OR(A575="",C575=""),"",IFERROR(INDEX('Produtos'!$F$5:$F$204,MATCH(C575,'Produtos'!$A$5:$A$204,0))+SUMIFS($F$5:$F$1004,$C$5:$C$1004,C575,$E$5:$E$1004,"Entrada",$A$5:$A$1004,"&lt;="&amp;A575)-SUMIFS($F$5:$F$1004,$C$5:$C$1004,C575,$E$5:$E$1004,"Saída",$A$5:$A$1004,"&lt;="&amp;A575),""))</f>
        <v/>
      </c>
      <c r="J575" s="68">
        <f>IF(A575="","",A575+ROW()/100000)</f>
        <v/>
      </c>
    </row>
    <row r="576">
      <c r="A576" s="65" t="n"/>
      <c r="B576" s="58" t="n"/>
      <c r="C576" s="58" t="n"/>
      <c r="D576" s="66">
        <f>IF(C576="","",IFERROR(INDEX('Produtos'!$B$5:$B$204,MATCH(C576,'Produtos'!$A$5:$A$204,0)),"Código não cadastrado"))</f>
        <v/>
      </c>
      <c r="E576" s="58" t="n"/>
      <c r="F576" s="61" t="n"/>
      <c r="G576" s="59" t="n"/>
      <c r="H576" s="59" t="n"/>
      <c r="I576" s="67">
        <f>IF(OR(A576="",C576=""),"",IFERROR(INDEX('Produtos'!$F$5:$F$204,MATCH(C576,'Produtos'!$A$5:$A$204,0))+SUMIFS($F$5:$F$1004,$C$5:$C$1004,C576,$E$5:$E$1004,"Entrada",$A$5:$A$1004,"&lt;="&amp;A576)-SUMIFS($F$5:$F$1004,$C$5:$C$1004,C576,$E$5:$E$1004,"Saída",$A$5:$A$1004,"&lt;="&amp;A576),""))</f>
        <v/>
      </c>
      <c r="J576" s="68">
        <f>IF(A576="","",A576+ROW()/100000)</f>
        <v/>
      </c>
    </row>
    <row r="577">
      <c r="A577" s="65" t="n"/>
      <c r="B577" s="58" t="n"/>
      <c r="C577" s="58" t="n"/>
      <c r="D577" s="66">
        <f>IF(C577="","",IFERROR(INDEX('Produtos'!$B$5:$B$204,MATCH(C577,'Produtos'!$A$5:$A$204,0)),"Código não cadastrado"))</f>
        <v/>
      </c>
      <c r="E577" s="58" t="n"/>
      <c r="F577" s="61" t="n"/>
      <c r="G577" s="59" t="n"/>
      <c r="H577" s="59" t="n"/>
      <c r="I577" s="67">
        <f>IF(OR(A577="",C577=""),"",IFERROR(INDEX('Produtos'!$F$5:$F$204,MATCH(C577,'Produtos'!$A$5:$A$204,0))+SUMIFS($F$5:$F$1004,$C$5:$C$1004,C577,$E$5:$E$1004,"Entrada",$A$5:$A$1004,"&lt;="&amp;A577)-SUMIFS($F$5:$F$1004,$C$5:$C$1004,C577,$E$5:$E$1004,"Saída",$A$5:$A$1004,"&lt;="&amp;A577),""))</f>
        <v/>
      </c>
      <c r="J577" s="68">
        <f>IF(A577="","",A577+ROW()/100000)</f>
        <v/>
      </c>
    </row>
    <row r="578">
      <c r="A578" s="65" t="n"/>
      <c r="B578" s="58" t="n"/>
      <c r="C578" s="58" t="n"/>
      <c r="D578" s="66">
        <f>IF(C578="","",IFERROR(INDEX('Produtos'!$B$5:$B$204,MATCH(C578,'Produtos'!$A$5:$A$204,0)),"Código não cadastrado"))</f>
        <v/>
      </c>
      <c r="E578" s="58" t="n"/>
      <c r="F578" s="61" t="n"/>
      <c r="G578" s="59" t="n"/>
      <c r="H578" s="59" t="n"/>
      <c r="I578" s="67">
        <f>IF(OR(A578="",C578=""),"",IFERROR(INDEX('Produtos'!$F$5:$F$204,MATCH(C578,'Produtos'!$A$5:$A$204,0))+SUMIFS($F$5:$F$1004,$C$5:$C$1004,C578,$E$5:$E$1004,"Entrada",$A$5:$A$1004,"&lt;="&amp;A578)-SUMIFS($F$5:$F$1004,$C$5:$C$1004,C578,$E$5:$E$1004,"Saída",$A$5:$A$1004,"&lt;="&amp;A578),""))</f>
        <v/>
      </c>
      <c r="J578" s="68">
        <f>IF(A578="","",A578+ROW()/100000)</f>
        <v/>
      </c>
    </row>
    <row r="579">
      <c r="A579" s="65" t="n"/>
      <c r="B579" s="58" t="n"/>
      <c r="C579" s="58" t="n"/>
      <c r="D579" s="66">
        <f>IF(C579="","",IFERROR(INDEX('Produtos'!$B$5:$B$204,MATCH(C579,'Produtos'!$A$5:$A$204,0)),"Código não cadastrado"))</f>
        <v/>
      </c>
      <c r="E579" s="58" t="n"/>
      <c r="F579" s="61" t="n"/>
      <c r="G579" s="59" t="n"/>
      <c r="H579" s="59" t="n"/>
      <c r="I579" s="67">
        <f>IF(OR(A579="",C579=""),"",IFERROR(INDEX('Produtos'!$F$5:$F$204,MATCH(C579,'Produtos'!$A$5:$A$204,0))+SUMIFS($F$5:$F$1004,$C$5:$C$1004,C579,$E$5:$E$1004,"Entrada",$A$5:$A$1004,"&lt;="&amp;A579)-SUMIFS($F$5:$F$1004,$C$5:$C$1004,C579,$E$5:$E$1004,"Saída",$A$5:$A$1004,"&lt;="&amp;A579),""))</f>
        <v/>
      </c>
      <c r="J579" s="68">
        <f>IF(A579="","",A579+ROW()/100000)</f>
        <v/>
      </c>
    </row>
    <row r="580">
      <c r="A580" s="65" t="n"/>
      <c r="B580" s="58" t="n"/>
      <c r="C580" s="58" t="n"/>
      <c r="D580" s="66">
        <f>IF(C580="","",IFERROR(INDEX('Produtos'!$B$5:$B$204,MATCH(C580,'Produtos'!$A$5:$A$204,0)),"Código não cadastrado"))</f>
        <v/>
      </c>
      <c r="E580" s="58" t="n"/>
      <c r="F580" s="61" t="n"/>
      <c r="G580" s="59" t="n"/>
      <c r="H580" s="59" t="n"/>
      <c r="I580" s="67">
        <f>IF(OR(A580="",C580=""),"",IFERROR(INDEX('Produtos'!$F$5:$F$204,MATCH(C580,'Produtos'!$A$5:$A$204,0))+SUMIFS($F$5:$F$1004,$C$5:$C$1004,C580,$E$5:$E$1004,"Entrada",$A$5:$A$1004,"&lt;="&amp;A580)-SUMIFS($F$5:$F$1004,$C$5:$C$1004,C580,$E$5:$E$1004,"Saída",$A$5:$A$1004,"&lt;="&amp;A580),""))</f>
        <v/>
      </c>
      <c r="J580" s="68">
        <f>IF(A580="","",A580+ROW()/100000)</f>
        <v/>
      </c>
    </row>
    <row r="581">
      <c r="A581" s="65" t="n"/>
      <c r="B581" s="58" t="n"/>
      <c r="C581" s="58" t="n"/>
      <c r="D581" s="66">
        <f>IF(C581="","",IFERROR(INDEX('Produtos'!$B$5:$B$204,MATCH(C581,'Produtos'!$A$5:$A$204,0)),"Código não cadastrado"))</f>
        <v/>
      </c>
      <c r="E581" s="58" t="n"/>
      <c r="F581" s="61" t="n"/>
      <c r="G581" s="59" t="n"/>
      <c r="H581" s="59" t="n"/>
      <c r="I581" s="67">
        <f>IF(OR(A581="",C581=""),"",IFERROR(INDEX('Produtos'!$F$5:$F$204,MATCH(C581,'Produtos'!$A$5:$A$204,0))+SUMIFS($F$5:$F$1004,$C$5:$C$1004,C581,$E$5:$E$1004,"Entrada",$A$5:$A$1004,"&lt;="&amp;A581)-SUMIFS($F$5:$F$1004,$C$5:$C$1004,C581,$E$5:$E$1004,"Saída",$A$5:$A$1004,"&lt;="&amp;A581),""))</f>
        <v/>
      </c>
      <c r="J581" s="68">
        <f>IF(A581="","",A581+ROW()/100000)</f>
        <v/>
      </c>
    </row>
    <row r="582">
      <c r="A582" s="65" t="n"/>
      <c r="B582" s="58" t="n"/>
      <c r="C582" s="58" t="n"/>
      <c r="D582" s="66">
        <f>IF(C582="","",IFERROR(INDEX('Produtos'!$B$5:$B$204,MATCH(C582,'Produtos'!$A$5:$A$204,0)),"Código não cadastrado"))</f>
        <v/>
      </c>
      <c r="E582" s="58" t="n"/>
      <c r="F582" s="61" t="n"/>
      <c r="G582" s="59" t="n"/>
      <c r="H582" s="59" t="n"/>
      <c r="I582" s="67">
        <f>IF(OR(A582="",C582=""),"",IFERROR(INDEX('Produtos'!$F$5:$F$204,MATCH(C582,'Produtos'!$A$5:$A$204,0))+SUMIFS($F$5:$F$1004,$C$5:$C$1004,C582,$E$5:$E$1004,"Entrada",$A$5:$A$1004,"&lt;="&amp;A582)-SUMIFS($F$5:$F$1004,$C$5:$C$1004,C582,$E$5:$E$1004,"Saída",$A$5:$A$1004,"&lt;="&amp;A582),""))</f>
        <v/>
      </c>
      <c r="J582" s="68">
        <f>IF(A582="","",A582+ROW()/100000)</f>
        <v/>
      </c>
    </row>
    <row r="583">
      <c r="A583" s="65" t="n"/>
      <c r="B583" s="58" t="n"/>
      <c r="C583" s="58" t="n"/>
      <c r="D583" s="66">
        <f>IF(C583="","",IFERROR(INDEX('Produtos'!$B$5:$B$204,MATCH(C583,'Produtos'!$A$5:$A$204,0)),"Código não cadastrado"))</f>
        <v/>
      </c>
      <c r="E583" s="58" t="n"/>
      <c r="F583" s="61" t="n"/>
      <c r="G583" s="59" t="n"/>
      <c r="H583" s="59" t="n"/>
      <c r="I583" s="67">
        <f>IF(OR(A583="",C583=""),"",IFERROR(INDEX('Produtos'!$F$5:$F$204,MATCH(C583,'Produtos'!$A$5:$A$204,0))+SUMIFS($F$5:$F$1004,$C$5:$C$1004,C583,$E$5:$E$1004,"Entrada",$A$5:$A$1004,"&lt;="&amp;A583)-SUMIFS($F$5:$F$1004,$C$5:$C$1004,C583,$E$5:$E$1004,"Saída",$A$5:$A$1004,"&lt;="&amp;A583),""))</f>
        <v/>
      </c>
      <c r="J583" s="68">
        <f>IF(A583="","",A583+ROW()/100000)</f>
        <v/>
      </c>
    </row>
    <row r="584">
      <c r="A584" s="65" t="n"/>
      <c r="B584" s="58" t="n"/>
      <c r="C584" s="58" t="n"/>
      <c r="D584" s="66">
        <f>IF(C584="","",IFERROR(INDEX('Produtos'!$B$5:$B$204,MATCH(C584,'Produtos'!$A$5:$A$204,0)),"Código não cadastrado"))</f>
        <v/>
      </c>
      <c r="E584" s="58" t="n"/>
      <c r="F584" s="61" t="n"/>
      <c r="G584" s="59" t="n"/>
      <c r="H584" s="59" t="n"/>
      <c r="I584" s="67">
        <f>IF(OR(A584="",C584=""),"",IFERROR(INDEX('Produtos'!$F$5:$F$204,MATCH(C584,'Produtos'!$A$5:$A$204,0))+SUMIFS($F$5:$F$1004,$C$5:$C$1004,C584,$E$5:$E$1004,"Entrada",$A$5:$A$1004,"&lt;="&amp;A584)-SUMIFS($F$5:$F$1004,$C$5:$C$1004,C584,$E$5:$E$1004,"Saída",$A$5:$A$1004,"&lt;="&amp;A584),""))</f>
        <v/>
      </c>
      <c r="J584" s="68">
        <f>IF(A584="","",A584+ROW()/100000)</f>
        <v/>
      </c>
    </row>
    <row r="585">
      <c r="A585" s="65" t="n"/>
      <c r="B585" s="58" t="n"/>
      <c r="C585" s="58" t="n"/>
      <c r="D585" s="66">
        <f>IF(C585="","",IFERROR(INDEX('Produtos'!$B$5:$B$204,MATCH(C585,'Produtos'!$A$5:$A$204,0)),"Código não cadastrado"))</f>
        <v/>
      </c>
      <c r="E585" s="58" t="n"/>
      <c r="F585" s="61" t="n"/>
      <c r="G585" s="59" t="n"/>
      <c r="H585" s="59" t="n"/>
      <c r="I585" s="67">
        <f>IF(OR(A585="",C585=""),"",IFERROR(INDEX('Produtos'!$F$5:$F$204,MATCH(C585,'Produtos'!$A$5:$A$204,0))+SUMIFS($F$5:$F$1004,$C$5:$C$1004,C585,$E$5:$E$1004,"Entrada",$A$5:$A$1004,"&lt;="&amp;A585)-SUMIFS($F$5:$F$1004,$C$5:$C$1004,C585,$E$5:$E$1004,"Saída",$A$5:$A$1004,"&lt;="&amp;A585),""))</f>
        <v/>
      </c>
      <c r="J585" s="68">
        <f>IF(A585="","",A585+ROW()/100000)</f>
        <v/>
      </c>
    </row>
    <row r="586">
      <c r="A586" s="65" t="n"/>
      <c r="B586" s="58" t="n"/>
      <c r="C586" s="58" t="n"/>
      <c r="D586" s="66">
        <f>IF(C586="","",IFERROR(INDEX('Produtos'!$B$5:$B$204,MATCH(C586,'Produtos'!$A$5:$A$204,0)),"Código não cadastrado"))</f>
        <v/>
      </c>
      <c r="E586" s="58" t="n"/>
      <c r="F586" s="61" t="n"/>
      <c r="G586" s="59" t="n"/>
      <c r="H586" s="59" t="n"/>
      <c r="I586" s="67">
        <f>IF(OR(A586="",C586=""),"",IFERROR(INDEX('Produtos'!$F$5:$F$204,MATCH(C586,'Produtos'!$A$5:$A$204,0))+SUMIFS($F$5:$F$1004,$C$5:$C$1004,C586,$E$5:$E$1004,"Entrada",$A$5:$A$1004,"&lt;="&amp;A586)-SUMIFS($F$5:$F$1004,$C$5:$C$1004,C586,$E$5:$E$1004,"Saída",$A$5:$A$1004,"&lt;="&amp;A586),""))</f>
        <v/>
      </c>
      <c r="J586" s="68">
        <f>IF(A586="","",A586+ROW()/100000)</f>
        <v/>
      </c>
    </row>
    <row r="587">
      <c r="A587" s="65" t="n"/>
      <c r="B587" s="58" t="n"/>
      <c r="C587" s="58" t="n"/>
      <c r="D587" s="66">
        <f>IF(C587="","",IFERROR(INDEX('Produtos'!$B$5:$B$204,MATCH(C587,'Produtos'!$A$5:$A$204,0)),"Código não cadastrado"))</f>
        <v/>
      </c>
      <c r="E587" s="58" t="n"/>
      <c r="F587" s="61" t="n"/>
      <c r="G587" s="59" t="n"/>
      <c r="H587" s="59" t="n"/>
      <c r="I587" s="67">
        <f>IF(OR(A587="",C587=""),"",IFERROR(INDEX('Produtos'!$F$5:$F$204,MATCH(C587,'Produtos'!$A$5:$A$204,0))+SUMIFS($F$5:$F$1004,$C$5:$C$1004,C587,$E$5:$E$1004,"Entrada",$A$5:$A$1004,"&lt;="&amp;A587)-SUMIFS($F$5:$F$1004,$C$5:$C$1004,C587,$E$5:$E$1004,"Saída",$A$5:$A$1004,"&lt;="&amp;A587),""))</f>
        <v/>
      </c>
      <c r="J587" s="68">
        <f>IF(A587="","",A587+ROW()/100000)</f>
        <v/>
      </c>
    </row>
    <row r="588">
      <c r="A588" s="65" t="n"/>
      <c r="B588" s="58" t="n"/>
      <c r="C588" s="58" t="n"/>
      <c r="D588" s="66">
        <f>IF(C588="","",IFERROR(INDEX('Produtos'!$B$5:$B$204,MATCH(C588,'Produtos'!$A$5:$A$204,0)),"Código não cadastrado"))</f>
        <v/>
      </c>
      <c r="E588" s="58" t="n"/>
      <c r="F588" s="61" t="n"/>
      <c r="G588" s="59" t="n"/>
      <c r="H588" s="59" t="n"/>
      <c r="I588" s="67">
        <f>IF(OR(A588="",C588=""),"",IFERROR(INDEX('Produtos'!$F$5:$F$204,MATCH(C588,'Produtos'!$A$5:$A$204,0))+SUMIFS($F$5:$F$1004,$C$5:$C$1004,C588,$E$5:$E$1004,"Entrada",$A$5:$A$1004,"&lt;="&amp;A588)-SUMIFS($F$5:$F$1004,$C$5:$C$1004,C588,$E$5:$E$1004,"Saída",$A$5:$A$1004,"&lt;="&amp;A588),""))</f>
        <v/>
      </c>
      <c r="J588" s="68">
        <f>IF(A588="","",A588+ROW()/100000)</f>
        <v/>
      </c>
    </row>
    <row r="589">
      <c r="A589" s="65" t="n"/>
      <c r="B589" s="58" t="n"/>
      <c r="C589" s="58" t="n"/>
      <c r="D589" s="66">
        <f>IF(C589="","",IFERROR(INDEX('Produtos'!$B$5:$B$204,MATCH(C589,'Produtos'!$A$5:$A$204,0)),"Código não cadastrado"))</f>
        <v/>
      </c>
      <c r="E589" s="58" t="n"/>
      <c r="F589" s="61" t="n"/>
      <c r="G589" s="59" t="n"/>
      <c r="H589" s="59" t="n"/>
      <c r="I589" s="67">
        <f>IF(OR(A589="",C589=""),"",IFERROR(INDEX('Produtos'!$F$5:$F$204,MATCH(C589,'Produtos'!$A$5:$A$204,0))+SUMIFS($F$5:$F$1004,$C$5:$C$1004,C589,$E$5:$E$1004,"Entrada",$A$5:$A$1004,"&lt;="&amp;A589)-SUMIFS($F$5:$F$1004,$C$5:$C$1004,C589,$E$5:$E$1004,"Saída",$A$5:$A$1004,"&lt;="&amp;A589),""))</f>
        <v/>
      </c>
      <c r="J589" s="68">
        <f>IF(A589="","",A589+ROW()/100000)</f>
        <v/>
      </c>
    </row>
    <row r="590">
      <c r="A590" s="65" t="n"/>
      <c r="B590" s="58" t="n"/>
      <c r="C590" s="58" t="n"/>
      <c r="D590" s="66">
        <f>IF(C590="","",IFERROR(INDEX('Produtos'!$B$5:$B$204,MATCH(C590,'Produtos'!$A$5:$A$204,0)),"Código não cadastrado"))</f>
        <v/>
      </c>
      <c r="E590" s="58" t="n"/>
      <c r="F590" s="61" t="n"/>
      <c r="G590" s="59" t="n"/>
      <c r="H590" s="59" t="n"/>
      <c r="I590" s="67">
        <f>IF(OR(A590="",C590=""),"",IFERROR(INDEX('Produtos'!$F$5:$F$204,MATCH(C590,'Produtos'!$A$5:$A$204,0))+SUMIFS($F$5:$F$1004,$C$5:$C$1004,C590,$E$5:$E$1004,"Entrada",$A$5:$A$1004,"&lt;="&amp;A590)-SUMIFS($F$5:$F$1004,$C$5:$C$1004,C590,$E$5:$E$1004,"Saída",$A$5:$A$1004,"&lt;="&amp;A590),""))</f>
        <v/>
      </c>
      <c r="J590" s="68">
        <f>IF(A590="","",A590+ROW()/100000)</f>
        <v/>
      </c>
    </row>
    <row r="591">
      <c r="A591" s="65" t="n"/>
      <c r="B591" s="58" t="n"/>
      <c r="C591" s="58" t="n"/>
      <c r="D591" s="66">
        <f>IF(C591="","",IFERROR(INDEX('Produtos'!$B$5:$B$204,MATCH(C591,'Produtos'!$A$5:$A$204,0)),"Código não cadastrado"))</f>
        <v/>
      </c>
      <c r="E591" s="58" t="n"/>
      <c r="F591" s="61" t="n"/>
      <c r="G591" s="59" t="n"/>
      <c r="H591" s="59" t="n"/>
      <c r="I591" s="67">
        <f>IF(OR(A591="",C591=""),"",IFERROR(INDEX('Produtos'!$F$5:$F$204,MATCH(C591,'Produtos'!$A$5:$A$204,0))+SUMIFS($F$5:$F$1004,$C$5:$C$1004,C591,$E$5:$E$1004,"Entrada",$A$5:$A$1004,"&lt;="&amp;A591)-SUMIFS($F$5:$F$1004,$C$5:$C$1004,C591,$E$5:$E$1004,"Saída",$A$5:$A$1004,"&lt;="&amp;A591),""))</f>
        <v/>
      </c>
      <c r="J591" s="68">
        <f>IF(A591="","",A591+ROW()/100000)</f>
        <v/>
      </c>
    </row>
    <row r="592">
      <c r="A592" s="65" t="n"/>
      <c r="B592" s="58" t="n"/>
      <c r="C592" s="58" t="n"/>
      <c r="D592" s="66">
        <f>IF(C592="","",IFERROR(INDEX('Produtos'!$B$5:$B$204,MATCH(C592,'Produtos'!$A$5:$A$204,0)),"Código não cadastrado"))</f>
        <v/>
      </c>
      <c r="E592" s="58" t="n"/>
      <c r="F592" s="61" t="n"/>
      <c r="G592" s="59" t="n"/>
      <c r="H592" s="59" t="n"/>
      <c r="I592" s="67">
        <f>IF(OR(A592="",C592=""),"",IFERROR(INDEX('Produtos'!$F$5:$F$204,MATCH(C592,'Produtos'!$A$5:$A$204,0))+SUMIFS($F$5:$F$1004,$C$5:$C$1004,C592,$E$5:$E$1004,"Entrada",$A$5:$A$1004,"&lt;="&amp;A592)-SUMIFS($F$5:$F$1004,$C$5:$C$1004,C592,$E$5:$E$1004,"Saída",$A$5:$A$1004,"&lt;="&amp;A592),""))</f>
        <v/>
      </c>
      <c r="J592" s="68">
        <f>IF(A592="","",A592+ROW()/100000)</f>
        <v/>
      </c>
    </row>
    <row r="593">
      <c r="A593" s="65" t="n"/>
      <c r="B593" s="58" t="n"/>
      <c r="C593" s="58" t="n"/>
      <c r="D593" s="66">
        <f>IF(C593="","",IFERROR(INDEX('Produtos'!$B$5:$B$204,MATCH(C593,'Produtos'!$A$5:$A$204,0)),"Código não cadastrado"))</f>
        <v/>
      </c>
      <c r="E593" s="58" t="n"/>
      <c r="F593" s="61" t="n"/>
      <c r="G593" s="59" t="n"/>
      <c r="H593" s="59" t="n"/>
      <c r="I593" s="67">
        <f>IF(OR(A593="",C593=""),"",IFERROR(INDEX('Produtos'!$F$5:$F$204,MATCH(C593,'Produtos'!$A$5:$A$204,0))+SUMIFS($F$5:$F$1004,$C$5:$C$1004,C593,$E$5:$E$1004,"Entrada",$A$5:$A$1004,"&lt;="&amp;A593)-SUMIFS($F$5:$F$1004,$C$5:$C$1004,C593,$E$5:$E$1004,"Saída",$A$5:$A$1004,"&lt;="&amp;A593),""))</f>
        <v/>
      </c>
      <c r="J593" s="68">
        <f>IF(A593="","",A593+ROW()/100000)</f>
        <v/>
      </c>
    </row>
    <row r="594">
      <c r="A594" s="65" t="n"/>
      <c r="B594" s="58" t="n"/>
      <c r="C594" s="58" t="n"/>
      <c r="D594" s="66">
        <f>IF(C594="","",IFERROR(INDEX('Produtos'!$B$5:$B$204,MATCH(C594,'Produtos'!$A$5:$A$204,0)),"Código não cadastrado"))</f>
        <v/>
      </c>
      <c r="E594" s="58" t="n"/>
      <c r="F594" s="61" t="n"/>
      <c r="G594" s="59" t="n"/>
      <c r="H594" s="59" t="n"/>
      <c r="I594" s="67">
        <f>IF(OR(A594="",C594=""),"",IFERROR(INDEX('Produtos'!$F$5:$F$204,MATCH(C594,'Produtos'!$A$5:$A$204,0))+SUMIFS($F$5:$F$1004,$C$5:$C$1004,C594,$E$5:$E$1004,"Entrada",$A$5:$A$1004,"&lt;="&amp;A594)-SUMIFS($F$5:$F$1004,$C$5:$C$1004,C594,$E$5:$E$1004,"Saída",$A$5:$A$1004,"&lt;="&amp;A594),""))</f>
        <v/>
      </c>
      <c r="J594" s="68">
        <f>IF(A594="","",A594+ROW()/100000)</f>
        <v/>
      </c>
    </row>
    <row r="595">
      <c r="A595" s="65" t="n"/>
      <c r="B595" s="58" t="n"/>
      <c r="C595" s="58" t="n"/>
      <c r="D595" s="66">
        <f>IF(C595="","",IFERROR(INDEX('Produtos'!$B$5:$B$204,MATCH(C595,'Produtos'!$A$5:$A$204,0)),"Código não cadastrado"))</f>
        <v/>
      </c>
      <c r="E595" s="58" t="n"/>
      <c r="F595" s="61" t="n"/>
      <c r="G595" s="59" t="n"/>
      <c r="H595" s="59" t="n"/>
      <c r="I595" s="67">
        <f>IF(OR(A595="",C595=""),"",IFERROR(INDEX('Produtos'!$F$5:$F$204,MATCH(C595,'Produtos'!$A$5:$A$204,0))+SUMIFS($F$5:$F$1004,$C$5:$C$1004,C595,$E$5:$E$1004,"Entrada",$A$5:$A$1004,"&lt;="&amp;A595)-SUMIFS($F$5:$F$1004,$C$5:$C$1004,C595,$E$5:$E$1004,"Saída",$A$5:$A$1004,"&lt;="&amp;A595),""))</f>
        <v/>
      </c>
      <c r="J595" s="68">
        <f>IF(A595="","",A595+ROW()/100000)</f>
        <v/>
      </c>
    </row>
    <row r="596">
      <c r="A596" s="65" t="n"/>
      <c r="B596" s="58" t="n"/>
      <c r="C596" s="58" t="n"/>
      <c r="D596" s="66">
        <f>IF(C596="","",IFERROR(INDEX('Produtos'!$B$5:$B$204,MATCH(C596,'Produtos'!$A$5:$A$204,0)),"Código não cadastrado"))</f>
        <v/>
      </c>
      <c r="E596" s="58" t="n"/>
      <c r="F596" s="61" t="n"/>
      <c r="G596" s="59" t="n"/>
      <c r="H596" s="59" t="n"/>
      <c r="I596" s="67">
        <f>IF(OR(A596="",C596=""),"",IFERROR(INDEX('Produtos'!$F$5:$F$204,MATCH(C596,'Produtos'!$A$5:$A$204,0))+SUMIFS($F$5:$F$1004,$C$5:$C$1004,C596,$E$5:$E$1004,"Entrada",$A$5:$A$1004,"&lt;="&amp;A596)-SUMIFS($F$5:$F$1004,$C$5:$C$1004,C596,$E$5:$E$1004,"Saída",$A$5:$A$1004,"&lt;="&amp;A596),""))</f>
        <v/>
      </c>
      <c r="J596" s="68">
        <f>IF(A596="","",A596+ROW()/100000)</f>
        <v/>
      </c>
    </row>
    <row r="597">
      <c r="A597" s="65" t="n"/>
      <c r="B597" s="58" t="n"/>
      <c r="C597" s="58" t="n"/>
      <c r="D597" s="66">
        <f>IF(C597="","",IFERROR(INDEX('Produtos'!$B$5:$B$204,MATCH(C597,'Produtos'!$A$5:$A$204,0)),"Código não cadastrado"))</f>
        <v/>
      </c>
      <c r="E597" s="58" t="n"/>
      <c r="F597" s="61" t="n"/>
      <c r="G597" s="59" t="n"/>
      <c r="H597" s="59" t="n"/>
      <c r="I597" s="67">
        <f>IF(OR(A597="",C597=""),"",IFERROR(INDEX('Produtos'!$F$5:$F$204,MATCH(C597,'Produtos'!$A$5:$A$204,0))+SUMIFS($F$5:$F$1004,$C$5:$C$1004,C597,$E$5:$E$1004,"Entrada",$A$5:$A$1004,"&lt;="&amp;A597)-SUMIFS($F$5:$F$1004,$C$5:$C$1004,C597,$E$5:$E$1004,"Saída",$A$5:$A$1004,"&lt;="&amp;A597),""))</f>
        <v/>
      </c>
      <c r="J597" s="68">
        <f>IF(A597="","",A597+ROW()/100000)</f>
        <v/>
      </c>
    </row>
    <row r="598">
      <c r="A598" s="65" t="n"/>
      <c r="B598" s="58" t="n"/>
      <c r="C598" s="58" t="n"/>
      <c r="D598" s="66">
        <f>IF(C598="","",IFERROR(INDEX('Produtos'!$B$5:$B$204,MATCH(C598,'Produtos'!$A$5:$A$204,0)),"Código não cadastrado"))</f>
        <v/>
      </c>
      <c r="E598" s="58" t="n"/>
      <c r="F598" s="61" t="n"/>
      <c r="G598" s="59" t="n"/>
      <c r="H598" s="59" t="n"/>
      <c r="I598" s="67">
        <f>IF(OR(A598="",C598=""),"",IFERROR(INDEX('Produtos'!$F$5:$F$204,MATCH(C598,'Produtos'!$A$5:$A$204,0))+SUMIFS($F$5:$F$1004,$C$5:$C$1004,C598,$E$5:$E$1004,"Entrada",$A$5:$A$1004,"&lt;="&amp;A598)-SUMIFS($F$5:$F$1004,$C$5:$C$1004,C598,$E$5:$E$1004,"Saída",$A$5:$A$1004,"&lt;="&amp;A598),""))</f>
        <v/>
      </c>
      <c r="J598" s="68">
        <f>IF(A598="","",A598+ROW()/100000)</f>
        <v/>
      </c>
    </row>
    <row r="599">
      <c r="A599" s="65" t="n"/>
      <c r="B599" s="58" t="n"/>
      <c r="C599" s="58" t="n"/>
      <c r="D599" s="66">
        <f>IF(C599="","",IFERROR(INDEX('Produtos'!$B$5:$B$204,MATCH(C599,'Produtos'!$A$5:$A$204,0)),"Código não cadastrado"))</f>
        <v/>
      </c>
      <c r="E599" s="58" t="n"/>
      <c r="F599" s="61" t="n"/>
      <c r="G599" s="59" t="n"/>
      <c r="H599" s="59" t="n"/>
      <c r="I599" s="67">
        <f>IF(OR(A599="",C599=""),"",IFERROR(INDEX('Produtos'!$F$5:$F$204,MATCH(C599,'Produtos'!$A$5:$A$204,0))+SUMIFS($F$5:$F$1004,$C$5:$C$1004,C599,$E$5:$E$1004,"Entrada",$A$5:$A$1004,"&lt;="&amp;A599)-SUMIFS($F$5:$F$1004,$C$5:$C$1004,C599,$E$5:$E$1004,"Saída",$A$5:$A$1004,"&lt;="&amp;A599),""))</f>
        <v/>
      </c>
      <c r="J599" s="68">
        <f>IF(A599="","",A599+ROW()/100000)</f>
        <v/>
      </c>
    </row>
    <row r="600">
      <c r="A600" s="65" t="n"/>
      <c r="B600" s="58" t="n"/>
      <c r="C600" s="58" t="n"/>
      <c r="D600" s="66">
        <f>IF(C600="","",IFERROR(INDEX('Produtos'!$B$5:$B$204,MATCH(C600,'Produtos'!$A$5:$A$204,0)),"Código não cadastrado"))</f>
        <v/>
      </c>
      <c r="E600" s="58" t="n"/>
      <c r="F600" s="61" t="n"/>
      <c r="G600" s="59" t="n"/>
      <c r="H600" s="59" t="n"/>
      <c r="I600" s="67">
        <f>IF(OR(A600="",C600=""),"",IFERROR(INDEX('Produtos'!$F$5:$F$204,MATCH(C600,'Produtos'!$A$5:$A$204,0))+SUMIFS($F$5:$F$1004,$C$5:$C$1004,C600,$E$5:$E$1004,"Entrada",$A$5:$A$1004,"&lt;="&amp;A600)-SUMIFS($F$5:$F$1004,$C$5:$C$1004,C600,$E$5:$E$1004,"Saída",$A$5:$A$1004,"&lt;="&amp;A600),""))</f>
        <v/>
      </c>
      <c r="J600" s="68">
        <f>IF(A600="","",A600+ROW()/100000)</f>
        <v/>
      </c>
    </row>
    <row r="601">
      <c r="A601" s="65" t="n"/>
      <c r="B601" s="58" t="n"/>
      <c r="C601" s="58" t="n"/>
      <c r="D601" s="66">
        <f>IF(C601="","",IFERROR(INDEX('Produtos'!$B$5:$B$204,MATCH(C601,'Produtos'!$A$5:$A$204,0)),"Código não cadastrado"))</f>
        <v/>
      </c>
      <c r="E601" s="58" t="n"/>
      <c r="F601" s="61" t="n"/>
      <c r="G601" s="59" t="n"/>
      <c r="H601" s="59" t="n"/>
      <c r="I601" s="67">
        <f>IF(OR(A601="",C601=""),"",IFERROR(INDEX('Produtos'!$F$5:$F$204,MATCH(C601,'Produtos'!$A$5:$A$204,0))+SUMIFS($F$5:$F$1004,$C$5:$C$1004,C601,$E$5:$E$1004,"Entrada",$A$5:$A$1004,"&lt;="&amp;A601)-SUMIFS($F$5:$F$1004,$C$5:$C$1004,C601,$E$5:$E$1004,"Saída",$A$5:$A$1004,"&lt;="&amp;A601),""))</f>
        <v/>
      </c>
      <c r="J601" s="68">
        <f>IF(A601="","",A601+ROW()/100000)</f>
        <v/>
      </c>
    </row>
    <row r="602">
      <c r="A602" s="65" t="n"/>
      <c r="B602" s="58" t="n"/>
      <c r="C602" s="58" t="n"/>
      <c r="D602" s="66">
        <f>IF(C602="","",IFERROR(INDEX('Produtos'!$B$5:$B$204,MATCH(C602,'Produtos'!$A$5:$A$204,0)),"Código não cadastrado"))</f>
        <v/>
      </c>
      <c r="E602" s="58" t="n"/>
      <c r="F602" s="61" t="n"/>
      <c r="G602" s="59" t="n"/>
      <c r="H602" s="59" t="n"/>
      <c r="I602" s="67">
        <f>IF(OR(A602="",C602=""),"",IFERROR(INDEX('Produtos'!$F$5:$F$204,MATCH(C602,'Produtos'!$A$5:$A$204,0))+SUMIFS($F$5:$F$1004,$C$5:$C$1004,C602,$E$5:$E$1004,"Entrada",$A$5:$A$1004,"&lt;="&amp;A602)-SUMIFS($F$5:$F$1004,$C$5:$C$1004,C602,$E$5:$E$1004,"Saída",$A$5:$A$1004,"&lt;="&amp;A602),""))</f>
        <v/>
      </c>
      <c r="J602" s="68">
        <f>IF(A602="","",A602+ROW()/100000)</f>
        <v/>
      </c>
    </row>
    <row r="603">
      <c r="A603" s="65" t="n"/>
      <c r="B603" s="58" t="n"/>
      <c r="C603" s="58" t="n"/>
      <c r="D603" s="66">
        <f>IF(C603="","",IFERROR(INDEX('Produtos'!$B$5:$B$204,MATCH(C603,'Produtos'!$A$5:$A$204,0)),"Código não cadastrado"))</f>
        <v/>
      </c>
      <c r="E603" s="58" t="n"/>
      <c r="F603" s="61" t="n"/>
      <c r="G603" s="59" t="n"/>
      <c r="H603" s="59" t="n"/>
      <c r="I603" s="67">
        <f>IF(OR(A603="",C603=""),"",IFERROR(INDEX('Produtos'!$F$5:$F$204,MATCH(C603,'Produtos'!$A$5:$A$204,0))+SUMIFS($F$5:$F$1004,$C$5:$C$1004,C603,$E$5:$E$1004,"Entrada",$A$5:$A$1004,"&lt;="&amp;A603)-SUMIFS($F$5:$F$1004,$C$5:$C$1004,C603,$E$5:$E$1004,"Saída",$A$5:$A$1004,"&lt;="&amp;A603),""))</f>
        <v/>
      </c>
      <c r="J603" s="68">
        <f>IF(A603="","",A603+ROW()/100000)</f>
        <v/>
      </c>
    </row>
    <row r="604">
      <c r="A604" s="65" t="n"/>
      <c r="B604" s="58" t="n"/>
      <c r="C604" s="58" t="n"/>
      <c r="D604" s="66">
        <f>IF(C604="","",IFERROR(INDEX('Produtos'!$B$5:$B$204,MATCH(C604,'Produtos'!$A$5:$A$204,0)),"Código não cadastrado"))</f>
        <v/>
      </c>
      <c r="E604" s="58" t="n"/>
      <c r="F604" s="61" t="n"/>
      <c r="G604" s="59" t="n"/>
      <c r="H604" s="59" t="n"/>
      <c r="I604" s="67">
        <f>IF(OR(A604="",C604=""),"",IFERROR(INDEX('Produtos'!$F$5:$F$204,MATCH(C604,'Produtos'!$A$5:$A$204,0))+SUMIFS($F$5:$F$1004,$C$5:$C$1004,C604,$E$5:$E$1004,"Entrada",$A$5:$A$1004,"&lt;="&amp;A604)-SUMIFS($F$5:$F$1004,$C$5:$C$1004,C604,$E$5:$E$1004,"Saída",$A$5:$A$1004,"&lt;="&amp;A604),""))</f>
        <v/>
      </c>
      <c r="J604" s="68">
        <f>IF(A604="","",A604+ROW()/100000)</f>
        <v/>
      </c>
    </row>
    <row r="605">
      <c r="A605" s="65" t="n"/>
      <c r="B605" s="58" t="n"/>
      <c r="C605" s="58" t="n"/>
      <c r="D605" s="66">
        <f>IF(C605="","",IFERROR(INDEX('Produtos'!$B$5:$B$204,MATCH(C605,'Produtos'!$A$5:$A$204,0)),"Código não cadastrado"))</f>
        <v/>
      </c>
      <c r="E605" s="58" t="n"/>
      <c r="F605" s="61" t="n"/>
      <c r="G605" s="59" t="n"/>
      <c r="H605" s="59" t="n"/>
      <c r="I605" s="67">
        <f>IF(OR(A605="",C605=""),"",IFERROR(INDEX('Produtos'!$F$5:$F$204,MATCH(C605,'Produtos'!$A$5:$A$204,0))+SUMIFS($F$5:$F$1004,$C$5:$C$1004,C605,$E$5:$E$1004,"Entrada",$A$5:$A$1004,"&lt;="&amp;A605)-SUMIFS($F$5:$F$1004,$C$5:$C$1004,C605,$E$5:$E$1004,"Saída",$A$5:$A$1004,"&lt;="&amp;A605),""))</f>
        <v/>
      </c>
      <c r="J605" s="68">
        <f>IF(A605="","",A605+ROW()/100000)</f>
        <v/>
      </c>
    </row>
    <row r="606">
      <c r="A606" s="65" t="n"/>
      <c r="B606" s="58" t="n"/>
      <c r="C606" s="58" t="n"/>
      <c r="D606" s="66">
        <f>IF(C606="","",IFERROR(INDEX('Produtos'!$B$5:$B$204,MATCH(C606,'Produtos'!$A$5:$A$204,0)),"Código não cadastrado"))</f>
        <v/>
      </c>
      <c r="E606" s="58" t="n"/>
      <c r="F606" s="61" t="n"/>
      <c r="G606" s="59" t="n"/>
      <c r="H606" s="59" t="n"/>
      <c r="I606" s="67">
        <f>IF(OR(A606="",C606=""),"",IFERROR(INDEX('Produtos'!$F$5:$F$204,MATCH(C606,'Produtos'!$A$5:$A$204,0))+SUMIFS($F$5:$F$1004,$C$5:$C$1004,C606,$E$5:$E$1004,"Entrada",$A$5:$A$1004,"&lt;="&amp;A606)-SUMIFS($F$5:$F$1004,$C$5:$C$1004,C606,$E$5:$E$1004,"Saída",$A$5:$A$1004,"&lt;="&amp;A606),""))</f>
        <v/>
      </c>
      <c r="J606" s="68">
        <f>IF(A606="","",A606+ROW()/100000)</f>
        <v/>
      </c>
    </row>
    <row r="607">
      <c r="A607" s="65" t="n"/>
      <c r="B607" s="58" t="n"/>
      <c r="C607" s="58" t="n"/>
      <c r="D607" s="66">
        <f>IF(C607="","",IFERROR(INDEX('Produtos'!$B$5:$B$204,MATCH(C607,'Produtos'!$A$5:$A$204,0)),"Código não cadastrado"))</f>
        <v/>
      </c>
      <c r="E607" s="58" t="n"/>
      <c r="F607" s="61" t="n"/>
      <c r="G607" s="59" t="n"/>
      <c r="H607" s="59" t="n"/>
      <c r="I607" s="67">
        <f>IF(OR(A607="",C607=""),"",IFERROR(INDEX('Produtos'!$F$5:$F$204,MATCH(C607,'Produtos'!$A$5:$A$204,0))+SUMIFS($F$5:$F$1004,$C$5:$C$1004,C607,$E$5:$E$1004,"Entrada",$A$5:$A$1004,"&lt;="&amp;A607)-SUMIFS($F$5:$F$1004,$C$5:$C$1004,C607,$E$5:$E$1004,"Saída",$A$5:$A$1004,"&lt;="&amp;A607),""))</f>
        <v/>
      </c>
      <c r="J607" s="68">
        <f>IF(A607="","",A607+ROW()/100000)</f>
        <v/>
      </c>
    </row>
    <row r="608">
      <c r="A608" s="65" t="n"/>
      <c r="B608" s="58" t="n"/>
      <c r="C608" s="58" t="n"/>
      <c r="D608" s="66">
        <f>IF(C608="","",IFERROR(INDEX('Produtos'!$B$5:$B$204,MATCH(C608,'Produtos'!$A$5:$A$204,0)),"Código não cadastrado"))</f>
        <v/>
      </c>
      <c r="E608" s="58" t="n"/>
      <c r="F608" s="61" t="n"/>
      <c r="G608" s="59" t="n"/>
      <c r="H608" s="59" t="n"/>
      <c r="I608" s="67">
        <f>IF(OR(A608="",C608=""),"",IFERROR(INDEX('Produtos'!$F$5:$F$204,MATCH(C608,'Produtos'!$A$5:$A$204,0))+SUMIFS($F$5:$F$1004,$C$5:$C$1004,C608,$E$5:$E$1004,"Entrada",$A$5:$A$1004,"&lt;="&amp;A608)-SUMIFS($F$5:$F$1004,$C$5:$C$1004,C608,$E$5:$E$1004,"Saída",$A$5:$A$1004,"&lt;="&amp;A608),""))</f>
        <v/>
      </c>
      <c r="J608" s="68">
        <f>IF(A608="","",A608+ROW()/100000)</f>
        <v/>
      </c>
    </row>
    <row r="609">
      <c r="A609" s="65" t="n"/>
      <c r="B609" s="58" t="n"/>
      <c r="C609" s="58" t="n"/>
      <c r="D609" s="66">
        <f>IF(C609="","",IFERROR(INDEX('Produtos'!$B$5:$B$204,MATCH(C609,'Produtos'!$A$5:$A$204,0)),"Código não cadastrado"))</f>
        <v/>
      </c>
      <c r="E609" s="58" t="n"/>
      <c r="F609" s="61" t="n"/>
      <c r="G609" s="59" t="n"/>
      <c r="H609" s="59" t="n"/>
      <c r="I609" s="67">
        <f>IF(OR(A609="",C609=""),"",IFERROR(INDEX('Produtos'!$F$5:$F$204,MATCH(C609,'Produtos'!$A$5:$A$204,0))+SUMIFS($F$5:$F$1004,$C$5:$C$1004,C609,$E$5:$E$1004,"Entrada",$A$5:$A$1004,"&lt;="&amp;A609)-SUMIFS($F$5:$F$1004,$C$5:$C$1004,C609,$E$5:$E$1004,"Saída",$A$5:$A$1004,"&lt;="&amp;A609),""))</f>
        <v/>
      </c>
      <c r="J609" s="68">
        <f>IF(A609="","",A609+ROW()/100000)</f>
        <v/>
      </c>
    </row>
    <row r="610">
      <c r="A610" s="65" t="n"/>
      <c r="B610" s="58" t="n"/>
      <c r="C610" s="58" t="n"/>
      <c r="D610" s="66">
        <f>IF(C610="","",IFERROR(INDEX('Produtos'!$B$5:$B$204,MATCH(C610,'Produtos'!$A$5:$A$204,0)),"Código não cadastrado"))</f>
        <v/>
      </c>
      <c r="E610" s="58" t="n"/>
      <c r="F610" s="61" t="n"/>
      <c r="G610" s="59" t="n"/>
      <c r="H610" s="59" t="n"/>
      <c r="I610" s="67">
        <f>IF(OR(A610="",C610=""),"",IFERROR(INDEX('Produtos'!$F$5:$F$204,MATCH(C610,'Produtos'!$A$5:$A$204,0))+SUMIFS($F$5:$F$1004,$C$5:$C$1004,C610,$E$5:$E$1004,"Entrada",$A$5:$A$1004,"&lt;="&amp;A610)-SUMIFS($F$5:$F$1004,$C$5:$C$1004,C610,$E$5:$E$1004,"Saída",$A$5:$A$1004,"&lt;="&amp;A610),""))</f>
        <v/>
      </c>
      <c r="J610" s="68">
        <f>IF(A610="","",A610+ROW()/100000)</f>
        <v/>
      </c>
    </row>
    <row r="611">
      <c r="A611" s="65" t="n"/>
      <c r="B611" s="58" t="n"/>
      <c r="C611" s="58" t="n"/>
      <c r="D611" s="66">
        <f>IF(C611="","",IFERROR(INDEX('Produtos'!$B$5:$B$204,MATCH(C611,'Produtos'!$A$5:$A$204,0)),"Código não cadastrado"))</f>
        <v/>
      </c>
      <c r="E611" s="58" t="n"/>
      <c r="F611" s="61" t="n"/>
      <c r="G611" s="59" t="n"/>
      <c r="H611" s="59" t="n"/>
      <c r="I611" s="67">
        <f>IF(OR(A611="",C611=""),"",IFERROR(INDEX('Produtos'!$F$5:$F$204,MATCH(C611,'Produtos'!$A$5:$A$204,0))+SUMIFS($F$5:$F$1004,$C$5:$C$1004,C611,$E$5:$E$1004,"Entrada",$A$5:$A$1004,"&lt;="&amp;A611)-SUMIFS($F$5:$F$1004,$C$5:$C$1004,C611,$E$5:$E$1004,"Saída",$A$5:$A$1004,"&lt;="&amp;A611),""))</f>
        <v/>
      </c>
      <c r="J611" s="68">
        <f>IF(A611="","",A611+ROW()/100000)</f>
        <v/>
      </c>
    </row>
    <row r="612">
      <c r="A612" s="65" t="n"/>
      <c r="B612" s="58" t="n"/>
      <c r="C612" s="58" t="n"/>
      <c r="D612" s="66">
        <f>IF(C612="","",IFERROR(INDEX('Produtos'!$B$5:$B$204,MATCH(C612,'Produtos'!$A$5:$A$204,0)),"Código não cadastrado"))</f>
        <v/>
      </c>
      <c r="E612" s="58" t="n"/>
      <c r="F612" s="61" t="n"/>
      <c r="G612" s="59" t="n"/>
      <c r="H612" s="59" t="n"/>
      <c r="I612" s="67">
        <f>IF(OR(A612="",C612=""),"",IFERROR(INDEX('Produtos'!$F$5:$F$204,MATCH(C612,'Produtos'!$A$5:$A$204,0))+SUMIFS($F$5:$F$1004,$C$5:$C$1004,C612,$E$5:$E$1004,"Entrada",$A$5:$A$1004,"&lt;="&amp;A612)-SUMIFS($F$5:$F$1004,$C$5:$C$1004,C612,$E$5:$E$1004,"Saída",$A$5:$A$1004,"&lt;="&amp;A612),""))</f>
        <v/>
      </c>
      <c r="J612" s="68">
        <f>IF(A612="","",A612+ROW()/100000)</f>
        <v/>
      </c>
    </row>
    <row r="613">
      <c r="A613" s="65" t="n"/>
      <c r="B613" s="58" t="n"/>
      <c r="C613" s="58" t="n"/>
      <c r="D613" s="66">
        <f>IF(C613="","",IFERROR(INDEX('Produtos'!$B$5:$B$204,MATCH(C613,'Produtos'!$A$5:$A$204,0)),"Código não cadastrado"))</f>
        <v/>
      </c>
      <c r="E613" s="58" t="n"/>
      <c r="F613" s="61" t="n"/>
      <c r="G613" s="59" t="n"/>
      <c r="H613" s="59" t="n"/>
      <c r="I613" s="67">
        <f>IF(OR(A613="",C613=""),"",IFERROR(INDEX('Produtos'!$F$5:$F$204,MATCH(C613,'Produtos'!$A$5:$A$204,0))+SUMIFS($F$5:$F$1004,$C$5:$C$1004,C613,$E$5:$E$1004,"Entrada",$A$5:$A$1004,"&lt;="&amp;A613)-SUMIFS($F$5:$F$1004,$C$5:$C$1004,C613,$E$5:$E$1004,"Saída",$A$5:$A$1004,"&lt;="&amp;A613),""))</f>
        <v/>
      </c>
      <c r="J613" s="68">
        <f>IF(A613="","",A613+ROW()/100000)</f>
        <v/>
      </c>
    </row>
    <row r="614">
      <c r="A614" s="65" t="n"/>
      <c r="B614" s="58" t="n"/>
      <c r="C614" s="58" t="n"/>
      <c r="D614" s="66">
        <f>IF(C614="","",IFERROR(INDEX('Produtos'!$B$5:$B$204,MATCH(C614,'Produtos'!$A$5:$A$204,0)),"Código não cadastrado"))</f>
        <v/>
      </c>
      <c r="E614" s="58" t="n"/>
      <c r="F614" s="61" t="n"/>
      <c r="G614" s="59" t="n"/>
      <c r="H614" s="59" t="n"/>
      <c r="I614" s="67">
        <f>IF(OR(A614="",C614=""),"",IFERROR(INDEX('Produtos'!$F$5:$F$204,MATCH(C614,'Produtos'!$A$5:$A$204,0))+SUMIFS($F$5:$F$1004,$C$5:$C$1004,C614,$E$5:$E$1004,"Entrada",$A$5:$A$1004,"&lt;="&amp;A614)-SUMIFS($F$5:$F$1004,$C$5:$C$1004,C614,$E$5:$E$1004,"Saída",$A$5:$A$1004,"&lt;="&amp;A614),""))</f>
        <v/>
      </c>
      <c r="J614" s="68">
        <f>IF(A614="","",A614+ROW()/100000)</f>
        <v/>
      </c>
    </row>
    <row r="615">
      <c r="A615" s="65" t="n"/>
      <c r="B615" s="58" t="n"/>
      <c r="C615" s="58" t="n"/>
      <c r="D615" s="66">
        <f>IF(C615="","",IFERROR(INDEX('Produtos'!$B$5:$B$204,MATCH(C615,'Produtos'!$A$5:$A$204,0)),"Código não cadastrado"))</f>
        <v/>
      </c>
      <c r="E615" s="58" t="n"/>
      <c r="F615" s="61" t="n"/>
      <c r="G615" s="59" t="n"/>
      <c r="H615" s="59" t="n"/>
      <c r="I615" s="67">
        <f>IF(OR(A615="",C615=""),"",IFERROR(INDEX('Produtos'!$F$5:$F$204,MATCH(C615,'Produtos'!$A$5:$A$204,0))+SUMIFS($F$5:$F$1004,$C$5:$C$1004,C615,$E$5:$E$1004,"Entrada",$A$5:$A$1004,"&lt;="&amp;A615)-SUMIFS($F$5:$F$1004,$C$5:$C$1004,C615,$E$5:$E$1004,"Saída",$A$5:$A$1004,"&lt;="&amp;A615),""))</f>
        <v/>
      </c>
      <c r="J615" s="68">
        <f>IF(A615="","",A615+ROW()/100000)</f>
        <v/>
      </c>
    </row>
    <row r="616">
      <c r="A616" s="65" t="n"/>
      <c r="B616" s="58" t="n"/>
      <c r="C616" s="58" t="n"/>
      <c r="D616" s="66">
        <f>IF(C616="","",IFERROR(INDEX('Produtos'!$B$5:$B$204,MATCH(C616,'Produtos'!$A$5:$A$204,0)),"Código não cadastrado"))</f>
        <v/>
      </c>
      <c r="E616" s="58" t="n"/>
      <c r="F616" s="61" t="n"/>
      <c r="G616" s="59" t="n"/>
      <c r="H616" s="59" t="n"/>
      <c r="I616" s="67">
        <f>IF(OR(A616="",C616=""),"",IFERROR(INDEX('Produtos'!$F$5:$F$204,MATCH(C616,'Produtos'!$A$5:$A$204,0))+SUMIFS($F$5:$F$1004,$C$5:$C$1004,C616,$E$5:$E$1004,"Entrada",$A$5:$A$1004,"&lt;="&amp;A616)-SUMIFS($F$5:$F$1004,$C$5:$C$1004,C616,$E$5:$E$1004,"Saída",$A$5:$A$1004,"&lt;="&amp;A616),""))</f>
        <v/>
      </c>
      <c r="J616" s="68">
        <f>IF(A616="","",A616+ROW()/100000)</f>
        <v/>
      </c>
    </row>
    <row r="617">
      <c r="A617" s="65" t="n"/>
      <c r="B617" s="58" t="n"/>
      <c r="C617" s="58" t="n"/>
      <c r="D617" s="66">
        <f>IF(C617="","",IFERROR(INDEX('Produtos'!$B$5:$B$204,MATCH(C617,'Produtos'!$A$5:$A$204,0)),"Código não cadastrado"))</f>
        <v/>
      </c>
      <c r="E617" s="58" t="n"/>
      <c r="F617" s="61" t="n"/>
      <c r="G617" s="59" t="n"/>
      <c r="H617" s="59" t="n"/>
      <c r="I617" s="67">
        <f>IF(OR(A617="",C617=""),"",IFERROR(INDEX('Produtos'!$F$5:$F$204,MATCH(C617,'Produtos'!$A$5:$A$204,0))+SUMIFS($F$5:$F$1004,$C$5:$C$1004,C617,$E$5:$E$1004,"Entrada",$A$5:$A$1004,"&lt;="&amp;A617)-SUMIFS($F$5:$F$1004,$C$5:$C$1004,C617,$E$5:$E$1004,"Saída",$A$5:$A$1004,"&lt;="&amp;A617),""))</f>
        <v/>
      </c>
      <c r="J617" s="68">
        <f>IF(A617="","",A617+ROW()/100000)</f>
        <v/>
      </c>
    </row>
    <row r="618">
      <c r="A618" s="65" t="n"/>
      <c r="B618" s="58" t="n"/>
      <c r="C618" s="58" t="n"/>
      <c r="D618" s="66">
        <f>IF(C618="","",IFERROR(INDEX('Produtos'!$B$5:$B$204,MATCH(C618,'Produtos'!$A$5:$A$204,0)),"Código não cadastrado"))</f>
        <v/>
      </c>
      <c r="E618" s="58" t="n"/>
      <c r="F618" s="61" t="n"/>
      <c r="G618" s="59" t="n"/>
      <c r="H618" s="59" t="n"/>
      <c r="I618" s="67">
        <f>IF(OR(A618="",C618=""),"",IFERROR(INDEX('Produtos'!$F$5:$F$204,MATCH(C618,'Produtos'!$A$5:$A$204,0))+SUMIFS($F$5:$F$1004,$C$5:$C$1004,C618,$E$5:$E$1004,"Entrada",$A$5:$A$1004,"&lt;="&amp;A618)-SUMIFS($F$5:$F$1004,$C$5:$C$1004,C618,$E$5:$E$1004,"Saída",$A$5:$A$1004,"&lt;="&amp;A618),""))</f>
        <v/>
      </c>
      <c r="J618" s="68">
        <f>IF(A618="","",A618+ROW()/100000)</f>
        <v/>
      </c>
    </row>
    <row r="619">
      <c r="A619" s="65" t="n"/>
      <c r="B619" s="58" t="n"/>
      <c r="C619" s="58" t="n"/>
      <c r="D619" s="66">
        <f>IF(C619="","",IFERROR(INDEX('Produtos'!$B$5:$B$204,MATCH(C619,'Produtos'!$A$5:$A$204,0)),"Código não cadastrado"))</f>
        <v/>
      </c>
      <c r="E619" s="58" t="n"/>
      <c r="F619" s="61" t="n"/>
      <c r="G619" s="59" t="n"/>
      <c r="H619" s="59" t="n"/>
      <c r="I619" s="67">
        <f>IF(OR(A619="",C619=""),"",IFERROR(INDEX('Produtos'!$F$5:$F$204,MATCH(C619,'Produtos'!$A$5:$A$204,0))+SUMIFS($F$5:$F$1004,$C$5:$C$1004,C619,$E$5:$E$1004,"Entrada",$A$5:$A$1004,"&lt;="&amp;A619)-SUMIFS($F$5:$F$1004,$C$5:$C$1004,C619,$E$5:$E$1004,"Saída",$A$5:$A$1004,"&lt;="&amp;A619),""))</f>
        <v/>
      </c>
      <c r="J619" s="68">
        <f>IF(A619="","",A619+ROW()/100000)</f>
        <v/>
      </c>
    </row>
    <row r="620">
      <c r="A620" s="65" t="n"/>
      <c r="B620" s="58" t="n"/>
      <c r="C620" s="58" t="n"/>
      <c r="D620" s="66">
        <f>IF(C620="","",IFERROR(INDEX('Produtos'!$B$5:$B$204,MATCH(C620,'Produtos'!$A$5:$A$204,0)),"Código não cadastrado"))</f>
        <v/>
      </c>
      <c r="E620" s="58" t="n"/>
      <c r="F620" s="61" t="n"/>
      <c r="G620" s="59" t="n"/>
      <c r="H620" s="59" t="n"/>
      <c r="I620" s="67">
        <f>IF(OR(A620="",C620=""),"",IFERROR(INDEX('Produtos'!$F$5:$F$204,MATCH(C620,'Produtos'!$A$5:$A$204,0))+SUMIFS($F$5:$F$1004,$C$5:$C$1004,C620,$E$5:$E$1004,"Entrada",$A$5:$A$1004,"&lt;="&amp;A620)-SUMIFS($F$5:$F$1004,$C$5:$C$1004,C620,$E$5:$E$1004,"Saída",$A$5:$A$1004,"&lt;="&amp;A620),""))</f>
        <v/>
      </c>
      <c r="J620" s="68">
        <f>IF(A620="","",A620+ROW()/100000)</f>
        <v/>
      </c>
    </row>
    <row r="621">
      <c r="A621" s="65" t="n"/>
      <c r="B621" s="58" t="n"/>
      <c r="C621" s="58" t="n"/>
      <c r="D621" s="66">
        <f>IF(C621="","",IFERROR(INDEX('Produtos'!$B$5:$B$204,MATCH(C621,'Produtos'!$A$5:$A$204,0)),"Código não cadastrado"))</f>
        <v/>
      </c>
      <c r="E621" s="58" t="n"/>
      <c r="F621" s="61" t="n"/>
      <c r="G621" s="59" t="n"/>
      <c r="H621" s="59" t="n"/>
      <c r="I621" s="67">
        <f>IF(OR(A621="",C621=""),"",IFERROR(INDEX('Produtos'!$F$5:$F$204,MATCH(C621,'Produtos'!$A$5:$A$204,0))+SUMIFS($F$5:$F$1004,$C$5:$C$1004,C621,$E$5:$E$1004,"Entrada",$A$5:$A$1004,"&lt;="&amp;A621)-SUMIFS($F$5:$F$1004,$C$5:$C$1004,C621,$E$5:$E$1004,"Saída",$A$5:$A$1004,"&lt;="&amp;A621),""))</f>
        <v/>
      </c>
      <c r="J621" s="68">
        <f>IF(A621="","",A621+ROW()/100000)</f>
        <v/>
      </c>
    </row>
    <row r="622">
      <c r="A622" s="65" t="n"/>
      <c r="B622" s="58" t="n"/>
      <c r="C622" s="58" t="n"/>
      <c r="D622" s="66">
        <f>IF(C622="","",IFERROR(INDEX('Produtos'!$B$5:$B$204,MATCH(C622,'Produtos'!$A$5:$A$204,0)),"Código não cadastrado"))</f>
        <v/>
      </c>
      <c r="E622" s="58" t="n"/>
      <c r="F622" s="61" t="n"/>
      <c r="G622" s="59" t="n"/>
      <c r="H622" s="59" t="n"/>
      <c r="I622" s="67">
        <f>IF(OR(A622="",C622=""),"",IFERROR(INDEX('Produtos'!$F$5:$F$204,MATCH(C622,'Produtos'!$A$5:$A$204,0))+SUMIFS($F$5:$F$1004,$C$5:$C$1004,C622,$E$5:$E$1004,"Entrada",$A$5:$A$1004,"&lt;="&amp;A622)-SUMIFS($F$5:$F$1004,$C$5:$C$1004,C622,$E$5:$E$1004,"Saída",$A$5:$A$1004,"&lt;="&amp;A622),""))</f>
        <v/>
      </c>
      <c r="J622" s="68">
        <f>IF(A622="","",A622+ROW()/100000)</f>
        <v/>
      </c>
    </row>
    <row r="623">
      <c r="A623" s="65" t="n"/>
      <c r="B623" s="58" t="n"/>
      <c r="C623" s="58" t="n"/>
      <c r="D623" s="66">
        <f>IF(C623="","",IFERROR(INDEX('Produtos'!$B$5:$B$204,MATCH(C623,'Produtos'!$A$5:$A$204,0)),"Código não cadastrado"))</f>
        <v/>
      </c>
      <c r="E623" s="58" t="n"/>
      <c r="F623" s="61" t="n"/>
      <c r="G623" s="59" t="n"/>
      <c r="H623" s="59" t="n"/>
      <c r="I623" s="67">
        <f>IF(OR(A623="",C623=""),"",IFERROR(INDEX('Produtos'!$F$5:$F$204,MATCH(C623,'Produtos'!$A$5:$A$204,0))+SUMIFS($F$5:$F$1004,$C$5:$C$1004,C623,$E$5:$E$1004,"Entrada",$A$5:$A$1004,"&lt;="&amp;A623)-SUMIFS($F$5:$F$1004,$C$5:$C$1004,C623,$E$5:$E$1004,"Saída",$A$5:$A$1004,"&lt;="&amp;A623),""))</f>
        <v/>
      </c>
      <c r="J623" s="68">
        <f>IF(A623="","",A623+ROW()/100000)</f>
        <v/>
      </c>
    </row>
    <row r="624">
      <c r="A624" s="65" t="n"/>
      <c r="B624" s="58" t="n"/>
      <c r="C624" s="58" t="n"/>
      <c r="D624" s="66">
        <f>IF(C624="","",IFERROR(INDEX('Produtos'!$B$5:$B$204,MATCH(C624,'Produtos'!$A$5:$A$204,0)),"Código não cadastrado"))</f>
        <v/>
      </c>
      <c r="E624" s="58" t="n"/>
      <c r="F624" s="61" t="n"/>
      <c r="G624" s="59" t="n"/>
      <c r="H624" s="59" t="n"/>
      <c r="I624" s="67">
        <f>IF(OR(A624="",C624=""),"",IFERROR(INDEX('Produtos'!$F$5:$F$204,MATCH(C624,'Produtos'!$A$5:$A$204,0))+SUMIFS($F$5:$F$1004,$C$5:$C$1004,C624,$E$5:$E$1004,"Entrada",$A$5:$A$1004,"&lt;="&amp;A624)-SUMIFS($F$5:$F$1004,$C$5:$C$1004,C624,$E$5:$E$1004,"Saída",$A$5:$A$1004,"&lt;="&amp;A624),""))</f>
        <v/>
      </c>
      <c r="J624" s="68">
        <f>IF(A624="","",A624+ROW()/100000)</f>
        <v/>
      </c>
    </row>
    <row r="625">
      <c r="A625" s="65" t="n"/>
      <c r="B625" s="58" t="n"/>
      <c r="C625" s="58" t="n"/>
      <c r="D625" s="66">
        <f>IF(C625="","",IFERROR(INDEX('Produtos'!$B$5:$B$204,MATCH(C625,'Produtos'!$A$5:$A$204,0)),"Código não cadastrado"))</f>
        <v/>
      </c>
      <c r="E625" s="58" t="n"/>
      <c r="F625" s="61" t="n"/>
      <c r="G625" s="59" t="n"/>
      <c r="H625" s="59" t="n"/>
      <c r="I625" s="67">
        <f>IF(OR(A625="",C625=""),"",IFERROR(INDEX('Produtos'!$F$5:$F$204,MATCH(C625,'Produtos'!$A$5:$A$204,0))+SUMIFS($F$5:$F$1004,$C$5:$C$1004,C625,$E$5:$E$1004,"Entrada",$A$5:$A$1004,"&lt;="&amp;A625)-SUMIFS($F$5:$F$1004,$C$5:$C$1004,C625,$E$5:$E$1004,"Saída",$A$5:$A$1004,"&lt;="&amp;A625),""))</f>
        <v/>
      </c>
      <c r="J625" s="68">
        <f>IF(A625="","",A625+ROW()/100000)</f>
        <v/>
      </c>
    </row>
    <row r="626">
      <c r="A626" s="65" t="n"/>
      <c r="B626" s="58" t="n"/>
      <c r="C626" s="58" t="n"/>
      <c r="D626" s="66">
        <f>IF(C626="","",IFERROR(INDEX('Produtos'!$B$5:$B$204,MATCH(C626,'Produtos'!$A$5:$A$204,0)),"Código não cadastrado"))</f>
        <v/>
      </c>
      <c r="E626" s="58" t="n"/>
      <c r="F626" s="61" t="n"/>
      <c r="G626" s="59" t="n"/>
      <c r="H626" s="59" t="n"/>
      <c r="I626" s="67">
        <f>IF(OR(A626="",C626=""),"",IFERROR(INDEX('Produtos'!$F$5:$F$204,MATCH(C626,'Produtos'!$A$5:$A$204,0))+SUMIFS($F$5:$F$1004,$C$5:$C$1004,C626,$E$5:$E$1004,"Entrada",$A$5:$A$1004,"&lt;="&amp;A626)-SUMIFS($F$5:$F$1004,$C$5:$C$1004,C626,$E$5:$E$1004,"Saída",$A$5:$A$1004,"&lt;="&amp;A626),""))</f>
        <v/>
      </c>
      <c r="J626" s="68">
        <f>IF(A626="","",A626+ROW()/100000)</f>
        <v/>
      </c>
    </row>
    <row r="627">
      <c r="A627" s="65" t="n"/>
      <c r="B627" s="58" t="n"/>
      <c r="C627" s="58" t="n"/>
      <c r="D627" s="66">
        <f>IF(C627="","",IFERROR(INDEX('Produtos'!$B$5:$B$204,MATCH(C627,'Produtos'!$A$5:$A$204,0)),"Código não cadastrado"))</f>
        <v/>
      </c>
      <c r="E627" s="58" t="n"/>
      <c r="F627" s="61" t="n"/>
      <c r="G627" s="59" t="n"/>
      <c r="H627" s="59" t="n"/>
      <c r="I627" s="67">
        <f>IF(OR(A627="",C627=""),"",IFERROR(INDEX('Produtos'!$F$5:$F$204,MATCH(C627,'Produtos'!$A$5:$A$204,0))+SUMIFS($F$5:$F$1004,$C$5:$C$1004,C627,$E$5:$E$1004,"Entrada",$A$5:$A$1004,"&lt;="&amp;A627)-SUMIFS($F$5:$F$1004,$C$5:$C$1004,C627,$E$5:$E$1004,"Saída",$A$5:$A$1004,"&lt;="&amp;A627),""))</f>
        <v/>
      </c>
      <c r="J627" s="68">
        <f>IF(A627="","",A627+ROW()/100000)</f>
        <v/>
      </c>
    </row>
    <row r="628">
      <c r="A628" s="65" t="n"/>
      <c r="B628" s="58" t="n"/>
      <c r="C628" s="58" t="n"/>
      <c r="D628" s="66">
        <f>IF(C628="","",IFERROR(INDEX('Produtos'!$B$5:$B$204,MATCH(C628,'Produtos'!$A$5:$A$204,0)),"Código não cadastrado"))</f>
        <v/>
      </c>
      <c r="E628" s="58" t="n"/>
      <c r="F628" s="61" t="n"/>
      <c r="G628" s="59" t="n"/>
      <c r="H628" s="59" t="n"/>
      <c r="I628" s="67">
        <f>IF(OR(A628="",C628=""),"",IFERROR(INDEX('Produtos'!$F$5:$F$204,MATCH(C628,'Produtos'!$A$5:$A$204,0))+SUMIFS($F$5:$F$1004,$C$5:$C$1004,C628,$E$5:$E$1004,"Entrada",$A$5:$A$1004,"&lt;="&amp;A628)-SUMIFS($F$5:$F$1004,$C$5:$C$1004,C628,$E$5:$E$1004,"Saída",$A$5:$A$1004,"&lt;="&amp;A628),""))</f>
        <v/>
      </c>
      <c r="J628" s="68">
        <f>IF(A628="","",A628+ROW()/100000)</f>
        <v/>
      </c>
    </row>
    <row r="629">
      <c r="A629" s="65" t="n"/>
      <c r="B629" s="58" t="n"/>
      <c r="C629" s="58" t="n"/>
      <c r="D629" s="66">
        <f>IF(C629="","",IFERROR(INDEX('Produtos'!$B$5:$B$204,MATCH(C629,'Produtos'!$A$5:$A$204,0)),"Código não cadastrado"))</f>
        <v/>
      </c>
      <c r="E629" s="58" t="n"/>
      <c r="F629" s="61" t="n"/>
      <c r="G629" s="59" t="n"/>
      <c r="H629" s="59" t="n"/>
      <c r="I629" s="67">
        <f>IF(OR(A629="",C629=""),"",IFERROR(INDEX('Produtos'!$F$5:$F$204,MATCH(C629,'Produtos'!$A$5:$A$204,0))+SUMIFS($F$5:$F$1004,$C$5:$C$1004,C629,$E$5:$E$1004,"Entrada",$A$5:$A$1004,"&lt;="&amp;A629)-SUMIFS($F$5:$F$1004,$C$5:$C$1004,C629,$E$5:$E$1004,"Saída",$A$5:$A$1004,"&lt;="&amp;A629),""))</f>
        <v/>
      </c>
      <c r="J629" s="68">
        <f>IF(A629="","",A629+ROW()/100000)</f>
        <v/>
      </c>
    </row>
    <row r="630">
      <c r="A630" s="65" t="n"/>
      <c r="B630" s="58" t="n"/>
      <c r="C630" s="58" t="n"/>
      <c r="D630" s="66">
        <f>IF(C630="","",IFERROR(INDEX('Produtos'!$B$5:$B$204,MATCH(C630,'Produtos'!$A$5:$A$204,0)),"Código não cadastrado"))</f>
        <v/>
      </c>
      <c r="E630" s="58" t="n"/>
      <c r="F630" s="61" t="n"/>
      <c r="G630" s="59" t="n"/>
      <c r="H630" s="59" t="n"/>
      <c r="I630" s="67">
        <f>IF(OR(A630="",C630=""),"",IFERROR(INDEX('Produtos'!$F$5:$F$204,MATCH(C630,'Produtos'!$A$5:$A$204,0))+SUMIFS($F$5:$F$1004,$C$5:$C$1004,C630,$E$5:$E$1004,"Entrada",$A$5:$A$1004,"&lt;="&amp;A630)-SUMIFS($F$5:$F$1004,$C$5:$C$1004,C630,$E$5:$E$1004,"Saída",$A$5:$A$1004,"&lt;="&amp;A630),""))</f>
        <v/>
      </c>
      <c r="J630" s="68">
        <f>IF(A630="","",A630+ROW()/100000)</f>
        <v/>
      </c>
    </row>
    <row r="631">
      <c r="A631" s="65" t="n"/>
      <c r="B631" s="58" t="n"/>
      <c r="C631" s="58" t="n"/>
      <c r="D631" s="66">
        <f>IF(C631="","",IFERROR(INDEX('Produtos'!$B$5:$B$204,MATCH(C631,'Produtos'!$A$5:$A$204,0)),"Código não cadastrado"))</f>
        <v/>
      </c>
      <c r="E631" s="58" t="n"/>
      <c r="F631" s="61" t="n"/>
      <c r="G631" s="59" t="n"/>
      <c r="H631" s="59" t="n"/>
      <c r="I631" s="67">
        <f>IF(OR(A631="",C631=""),"",IFERROR(INDEX('Produtos'!$F$5:$F$204,MATCH(C631,'Produtos'!$A$5:$A$204,0))+SUMIFS($F$5:$F$1004,$C$5:$C$1004,C631,$E$5:$E$1004,"Entrada",$A$5:$A$1004,"&lt;="&amp;A631)-SUMIFS($F$5:$F$1004,$C$5:$C$1004,C631,$E$5:$E$1004,"Saída",$A$5:$A$1004,"&lt;="&amp;A631),""))</f>
        <v/>
      </c>
      <c r="J631" s="68">
        <f>IF(A631="","",A631+ROW()/100000)</f>
        <v/>
      </c>
    </row>
    <row r="632">
      <c r="A632" s="65" t="n"/>
      <c r="B632" s="58" t="n"/>
      <c r="C632" s="58" t="n"/>
      <c r="D632" s="66">
        <f>IF(C632="","",IFERROR(INDEX('Produtos'!$B$5:$B$204,MATCH(C632,'Produtos'!$A$5:$A$204,0)),"Código não cadastrado"))</f>
        <v/>
      </c>
      <c r="E632" s="58" t="n"/>
      <c r="F632" s="61" t="n"/>
      <c r="G632" s="59" t="n"/>
      <c r="H632" s="59" t="n"/>
      <c r="I632" s="67">
        <f>IF(OR(A632="",C632=""),"",IFERROR(INDEX('Produtos'!$F$5:$F$204,MATCH(C632,'Produtos'!$A$5:$A$204,0))+SUMIFS($F$5:$F$1004,$C$5:$C$1004,C632,$E$5:$E$1004,"Entrada",$A$5:$A$1004,"&lt;="&amp;A632)-SUMIFS($F$5:$F$1004,$C$5:$C$1004,C632,$E$5:$E$1004,"Saída",$A$5:$A$1004,"&lt;="&amp;A632),""))</f>
        <v/>
      </c>
      <c r="J632" s="68">
        <f>IF(A632="","",A632+ROW()/100000)</f>
        <v/>
      </c>
    </row>
    <row r="633">
      <c r="A633" s="65" t="n"/>
      <c r="B633" s="58" t="n"/>
      <c r="C633" s="58" t="n"/>
      <c r="D633" s="66">
        <f>IF(C633="","",IFERROR(INDEX('Produtos'!$B$5:$B$204,MATCH(C633,'Produtos'!$A$5:$A$204,0)),"Código não cadastrado"))</f>
        <v/>
      </c>
      <c r="E633" s="58" t="n"/>
      <c r="F633" s="61" t="n"/>
      <c r="G633" s="59" t="n"/>
      <c r="H633" s="59" t="n"/>
      <c r="I633" s="67">
        <f>IF(OR(A633="",C633=""),"",IFERROR(INDEX('Produtos'!$F$5:$F$204,MATCH(C633,'Produtos'!$A$5:$A$204,0))+SUMIFS($F$5:$F$1004,$C$5:$C$1004,C633,$E$5:$E$1004,"Entrada",$A$5:$A$1004,"&lt;="&amp;A633)-SUMIFS($F$5:$F$1004,$C$5:$C$1004,C633,$E$5:$E$1004,"Saída",$A$5:$A$1004,"&lt;="&amp;A633),""))</f>
        <v/>
      </c>
      <c r="J633" s="68">
        <f>IF(A633="","",A633+ROW()/100000)</f>
        <v/>
      </c>
    </row>
    <row r="634">
      <c r="A634" s="65" t="n"/>
      <c r="B634" s="58" t="n"/>
      <c r="C634" s="58" t="n"/>
      <c r="D634" s="66">
        <f>IF(C634="","",IFERROR(INDEX('Produtos'!$B$5:$B$204,MATCH(C634,'Produtos'!$A$5:$A$204,0)),"Código não cadastrado"))</f>
        <v/>
      </c>
      <c r="E634" s="58" t="n"/>
      <c r="F634" s="61" t="n"/>
      <c r="G634" s="59" t="n"/>
      <c r="H634" s="59" t="n"/>
      <c r="I634" s="67">
        <f>IF(OR(A634="",C634=""),"",IFERROR(INDEX('Produtos'!$F$5:$F$204,MATCH(C634,'Produtos'!$A$5:$A$204,0))+SUMIFS($F$5:$F$1004,$C$5:$C$1004,C634,$E$5:$E$1004,"Entrada",$A$5:$A$1004,"&lt;="&amp;A634)-SUMIFS($F$5:$F$1004,$C$5:$C$1004,C634,$E$5:$E$1004,"Saída",$A$5:$A$1004,"&lt;="&amp;A634),""))</f>
        <v/>
      </c>
      <c r="J634" s="68">
        <f>IF(A634="","",A634+ROW()/100000)</f>
        <v/>
      </c>
    </row>
    <row r="635">
      <c r="A635" s="65" t="n"/>
      <c r="B635" s="58" t="n"/>
      <c r="C635" s="58" t="n"/>
      <c r="D635" s="66">
        <f>IF(C635="","",IFERROR(INDEX('Produtos'!$B$5:$B$204,MATCH(C635,'Produtos'!$A$5:$A$204,0)),"Código não cadastrado"))</f>
        <v/>
      </c>
      <c r="E635" s="58" t="n"/>
      <c r="F635" s="61" t="n"/>
      <c r="G635" s="59" t="n"/>
      <c r="H635" s="59" t="n"/>
      <c r="I635" s="67">
        <f>IF(OR(A635="",C635=""),"",IFERROR(INDEX('Produtos'!$F$5:$F$204,MATCH(C635,'Produtos'!$A$5:$A$204,0))+SUMIFS($F$5:$F$1004,$C$5:$C$1004,C635,$E$5:$E$1004,"Entrada",$A$5:$A$1004,"&lt;="&amp;A635)-SUMIFS($F$5:$F$1004,$C$5:$C$1004,C635,$E$5:$E$1004,"Saída",$A$5:$A$1004,"&lt;="&amp;A635),""))</f>
        <v/>
      </c>
      <c r="J635" s="68">
        <f>IF(A635="","",A635+ROW()/100000)</f>
        <v/>
      </c>
    </row>
    <row r="636">
      <c r="A636" s="65" t="n"/>
      <c r="B636" s="58" t="n"/>
      <c r="C636" s="58" t="n"/>
      <c r="D636" s="66">
        <f>IF(C636="","",IFERROR(INDEX('Produtos'!$B$5:$B$204,MATCH(C636,'Produtos'!$A$5:$A$204,0)),"Código não cadastrado"))</f>
        <v/>
      </c>
      <c r="E636" s="58" t="n"/>
      <c r="F636" s="61" t="n"/>
      <c r="G636" s="59" t="n"/>
      <c r="H636" s="59" t="n"/>
      <c r="I636" s="67">
        <f>IF(OR(A636="",C636=""),"",IFERROR(INDEX('Produtos'!$F$5:$F$204,MATCH(C636,'Produtos'!$A$5:$A$204,0))+SUMIFS($F$5:$F$1004,$C$5:$C$1004,C636,$E$5:$E$1004,"Entrada",$A$5:$A$1004,"&lt;="&amp;A636)-SUMIFS($F$5:$F$1004,$C$5:$C$1004,C636,$E$5:$E$1004,"Saída",$A$5:$A$1004,"&lt;="&amp;A636),""))</f>
        <v/>
      </c>
      <c r="J636" s="68">
        <f>IF(A636="","",A636+ROW()/100000)</f>
        <v/>
      </c>
    </row>
    <row r="637">
      <c r="A637" s="65" t="n"/>
      <c r="B637" s="58" t="n"/>
      <c r="C637" s="58" t="n"/>
      <c r="D637" s="66">
        <f>IF(C637="","",IFERROR(INDEX('Produtos'!$B$5:$B$204,MATCH(C637,'Produtos'!$A$5:$A$204,0)),"Código não cadastrado"))</f>
        <v/>
      </c>
      <c r="E637" s="58" t="n"/>
      <c r="F637" s="61" t="n"/>
      <c r="G637" s="59" t="n"/>
      <c r="H637" s="59" t="n"/>
      <c r="I637" s="67">
        <f>IF(OR(A637="",C637=""),"",IFERROR(INDEX('Produtos'!$F$5:$F$204,MATCH(C637,'Produtos'!$A$5:$A$204,0))+SUMIFS($F$5:$F$1004,$C$5:$C$1004,C637,$E$5:$E$1004,"Entrada",$A$5:$A$1004,"&lt;="&amp;A637)-SUMIFS($F$5:$F$1004,$C$5:$C$1004,C637,$E$5:$E$1004,"Saída",$A$5:$A$1004,"&lt;="&amp;A637),""))</f>
        <v/>
      </c>
      <c r="J637" s="68">
        <f>IF(A637="","",A637+ROW()/100000)</f>
        <v/>
      </c>
    </row>
    <row r="638">
      <c r="A638" s="65" t="n"/>
      <c r="B638" s="58" t="n"/>
      <c r="C638" s="58" t="n"/>
      <c r="D638" s="66">
        <f>IF(C638="","",IFERROR(INDEX('Produtos'!$B$5:$B$204,MATCH(C638,'Produtos'!$A$5:$A$204,0)),"Código não cadastrado"))</f>
        <v/>
      </c>
      <c r="E638" s="58" t="n"/>
      <c r="F638" s="61" t="n"/>
      <c r="G638" s="59" t="n"/>
      <c r="H638" s="59" t="n"/>
      <c r="I638" s="67">
        <f>IF(OR(A638="",C638=""),"",IFERROR(INDEX('Produtos'!$F$5:$F$204,MATCH(C638,'Produtos'!$A$5:$A$204,0))+SUMIFS($F$5:$F$1004,$C$5:$C$1004,C638,$E$5:$E$1004,"Entrada",$A$5:$A$1004,"&lt;="&amp;A638)-SUMIFS($F$5:$F$1004,$C$5:$C$1004,C638,$E$5:$E$1004,"Saída",$A$5:$A$1004,"&lt;="&amp;A638),""))</f>
        <v/>
      </c>
      <c r="J638" s="68">
        <f>IF(A638="","",A638+ROW()/100000)</f>
        <v/>
      </c>
    </row>
    <row r="639">
      <c r="A639" s="65" t="n"/>
      <c r="B639" s="58" t="n"/>
      <c r="C639" s="58" t="n"/>
      <c r="D639" s="66">
        <f>IF(C639="","",IFERROR(INDEX('Produtos'!$B$5:$B$204,MATCH(C639,'Produtos'!$A$5:$A$204,0)),"Código não cadastrado"))</f>
        <v/>
      </c>
      <c r="E639" s="58" t="n"/>
      <c r="F639" s="61" t="n"/>
      <c r="G639" s="59" t="n"/>
      <c r="H639" s="59" t="n"/>
      <c r="I639" s="67">
        <f>IF(OR(A639="",C639=""),"",IFERROR(INDEX('Produtos'!$F$5:$F$204,MATCH(C639,'Produtos'!$A$5:$A$204,0))+SUMIFS($F$5:$F$1004,$C$5:$C$1004,C639,$E$5:$E$1004,"Entrada",$A$5:$A$1004,"&lt;="&amp;A639)-SUMIFS($F$5:$F$1004,$C$5:$C$1004,C639,$E$5:$E$1004,"Saída",$A$5:$A$1004,"&lt;="&amp;A639),""))</f>
        <v/>
      </c>
      <c r="J639" s="68">
        <f>IF(A639="","",A639+ROW()/100000)</f>
        <v/>
      </c>
    </row>
    <row r="640">
      <c r="A640" s="65" t="n"/>
      <c r="B640" s="58" t="n"/>
      <c r="C640" s="58" t="n"/>
      <c r="D640" s="66">
        <f>IF(C640="","",IFERROR(INDEX('Produtos'!$B$5:$B$204,MATCH(C640,'Produtos'!$A$5:$A$204,0)),"Código não cadastrado"))</f>
        <v/>
      </c>
      <c r="E640" s="58" t="n"/>
      <c r="F640" s="61" t="n"/>
      <c r="G640" s="59" t="n"/>
      <c r="H640" s="59" t="n"/>
      <c r="I640" s="67">
        <f>IF(OR(A640="",C640=""),"",IFERROR(INDEX('Produtos'!$F$5:$F$204,MATCH(C640,'Produtos'!$A$5:$A$204,0))+SUMIFS($F$5:$F$1004,$C$5:$C$1004,C640,$E$5:$E$1004,"Entrada",$A$5:$A$1004,"&lt;="&amp;A640)-SUMIFS($F$5:$F$1004,$C$5:$C$1004,C640,$E$5:$E$1004,"Saída",$A$5:$A$1004,"&lt;="&amp;A640),""))</f>
        <v/>
      </c>
      <c r="J640" s="68">
        <f>IF(A640="","",A640+ROW()/100000)</f>
        <v/>
      </c>
    </row>
    <row r="641">
      <c r="A641" s="65" t="n"/>
      <c r="B641" s="58" t="n"/>
      <c r="C641" s="58" t="n"/>
      <c r="D641" s="66">
        <f>IF(C641="","",IFERROR(INDEX('Produtos'!$B$5:$B$204,MATCH(C641,'Produtos'!$A$5:$A$204,0)),"Código não cadastrado"))</f>
        <v/>
      </c>
      <c r="E641" s="58" t="n"/>
      <c r="F641" s="61" t="n"/>
      <c r="G641" s="59" t="n"/>
      <c r="H641" s="59" t="n"/>
      <c r="I641" s="67">
        <f>IF(OR(A641="",C641=""),"",IFERROR(INDEX('Produtos'!$F$5:$F$204,MATCH(C641,'Produtos'!$A$5:$A$204,0))+SUMIFS($F$5:$F$1004,$C$5:$C$1004,C641,$E$5:$E$1004,"Entrada",$A$5:$A$1004,"&lt;="&amp;A641)-SUMIFS($F$5:$F$1004,$C$5:$C$1004,C641,$E$5:$E$1004,"Saída",$A$5:$A$1004,"&lt;="&amp;A641),""))</f>
        <v/>
      </c>
      <c r="J641" s="68">
        <f>IF(A641="","",A641+ROW()/100000)</f>
        <v/>
      </c>
    </row>
    <row r="642">
      <c r="A642" s="65" t="n"/>
      <c r="B642" s="58" t="n"/>
      <c r="C642" s="58" t="n"/>
      <c r="D642" s="66">
        <f>IF(C642="","",IFERROR(INDEX('Produtos'!$B$5:$B$204,MATCH(C642,'Produtos'!$A$5:$A$204,0)),"Código não cadastrado"))</f>
        <v/>
      </c>
      <c r="E642" s="58" t="n"/>
      <c r="F642" s="61" t="n"/>
      <c r="G642" s="59" t="n"/>
      <c r="H642" s="59" t="n"/>
      <c r="I642" s="67">
        <f>IF(OR(A642="",C642=""),"",IFERROR(INDEX('Produtos'!$F$5:$F$204,MATCH(C642,'Produtos'!$A$5:$A$204,0))+SUMIFS($F$5:$F$1004,$C$5:$C$1004,C642,$E$5:$E$1004,"Entrada",$A$5:$A$1004,"&lt;="&amp;A642)-SUMIFS($F$5:$F$1004,$C$5:$C$1004,C642,$E$5:$E$1004,"Saída",$A$5:$A$1004,"&lt;="&amp;A642),""))</f>
        <v/>
      </c>
      <c r="J642" s="68">
        <f>IF(A642="","",A642+ROW()/100000)</f>
        <v/>
      </c>
    </row>
    <row r="643">
      <c r="A643" s="65" t="n"/>
      <c r="B643" s="58" t="n"/>
      <c r="C643" s="58" t="n"/>
      <c r="D643" s="66">
        <f>IF(C643="","",IFERROR(INDEX('Produtos'!$B$5:$B$204,MATCH(C643,'Produtos'!$A$5:$A$204,0)),"Código não cadastrado"))</f>
        <v/>
      </c>
      <c r="E643" s="58" t="n"/>
      <c r="F643" s="61" t="n"/>
      <c r="G643" s="59" t="n"/>
      <c r="H643" s="59" t="n"/>
      <c r="I643" s="67">
        <f>IF(OR(A643="",C643=""),"",IFERROR(INDEX('Produtos'!$F$5:$F$204,MATCH(C643,'Produtos'!$A$5:$A$204,0))+SUMIFS($F$5:$F$1004,$C$5:$C$1004,C643,$E$5:$E$1004,"Entrada",$A$5:$A$1004,"&lt;="&amp;A643)-SUMIFS($F$5:$F$1004,$C$5:$C$1004,C643,$E$5:$E$1004,"Saída",$A$5:$A$1004,"&lt;="&amp;A643),""))</f>
        <v/>
      </c>
      <c r="J643" s="68">
        <f>IF(A643="","",A643+ROW()/100000)</f>
        <v/>
      </c>
    </row>
    <row r="644">
      <c r="A644" s="65" t="n"/>
      <c r="B644" s="58" t="n"/>
      <c r="C644" s="58" t="n"/>
      <c r="D644" s="66">
        <f>IF(C644="","",IFERROR(INDEX('Produtos'!$B$5:$B$204,MATCH(C644,'Produtos'!$A$5:$A$204,0)),"Código não cadastrado"))</f>
        <v/>
      </c>
      <c r="E644" s="58" t="n"/>
      <c r="F644" s="61" t="n"/>
      <c r="G644" s="59" t="n"/>
      <c r="H644" s="59" t="n"/>
      <c r="I644" s="67">
        <f>IF(OR(A644="",C644=""),"",IFERROR(INDEX('Produtos'!$F$5:$F$204,MATCH(C644,'Produtos'!$A$5:$A$204,0))+SUMIFS($F$5:$F$1004,$C$5:$C$1004,C644,$E$5:$E$1004,"Entrada",$A$5:$A$1004,"&lt;="&amp;A644)-SUMIFS($F$5:$F$1004,$C$5:$C$1004,C644,$E$5:$E$1004,"Saída",$A$5:$A$1004,"&lt;="&amp;A644),""))</f>
        <v/>
      </c>
      <c r="J644" s="68">
        <f>IF(A644="","",A644+ROW()/100000)</f>
        <v/>
      </c>
    </row>
    <row r="645">
      <c r="A645" s="65" t="n"/>
      <c r="B645" s="58" t="n"/>
      <c r="C645" s="58" t="n"/>
      <c r="D645" s="66">
        <f>IF(C645="","",IFERROR(INDEX('Produtos'!$B$5:$B$204,MATCH(C645,'Produtos'!$A$5:$A$204,0)),"Código não cadastrado"))</f>
        <v/>
      </c>
      <c r="E645" s="58" t="n"/>
      <c r="F645" s="61" t="n"/>
      <c r="G645" s="59" t="n"/>
      <c r="H645" s="59" t="n"/>
      <c r="I645" s="67">
        <f>IF(OR(A645="",C645=""),"",IFERROR(INDEX('Produtos'!$F$5:$F$204,MATCH(C645,'Produtos'!$A$5:$A$204,0))+SUMIFS($F$5:$F$1004,$C$5:$C$1004,C645,$E$5:$E$1004,"Entrada",$A$5:$A$1004,"&lt;="&amp;A645)-SUMIFS($F$5:$F$1004,$C$5:$C$1004,C645,$E$5:$E$1004,"Saída",$A$5:$A$1004,"&lt;="&amp;A645),""))</f>
        <v/>
      </c>
      <c r="J645" s="68">
        <f>IF(A645="","",A645+ROW()/100000)</f>
        <v/>
      </c>
    </row>
    <row r="646">
      <c r="A646" s="65" t="n"/>
      <c r="B646" s="58" t="n"/>
      <c r="C646" s="58" t="n"/>
      <c r="D646" s="66">
        <f>IF(C646="","",IFERROR(INDEX('Produtos'!$B$5:$B$204,MATCH(C646,'Produtos'!$A$5:$A$204,0)),"Código não cadastrado"))</f>
        <v/>
      </c>
      <c r="E646" s="58" t="n"/>
      <c r="F646" s="61" t="n"/>
      <c r="G646" s="59" t="n"/>
      <c r="H646" s="59" t="n"/>
      <c r="I646" s="67">
        <f>IF(OR(A646="",C646=""),"",IFERROR(INDEX('Produtos'!$F$5:$F$204,MATCH(C646,'Produtos'!$A$5:$A$204,0))+SUMIFS($F$5:$F$1004,$C$5:$C$1004,C646,$E$5:$E$1004,"Entrada",$A$5:$A$1004,"&lt;="&amp;A646)-SUMIFS($F$5:$F$1004,$C$5:$C$1004,C646,$E$5:$E$1004,"Saída",$A$5:$A$1004,"&lt;="&amp;A646),""))</f>
        <v/>
      </c>
      <c r="J646" s="68">
        <f>IF(A646="","",A646+ROW()/100000)</f>
        <v/>
      </c>
    </row>
    <row r="647">
      <c r="A647" s="65" t="n"/>
      <c r="B647" s="58" t="n"/>
      <c r="C647" s="58" t="n"/>
      <c r="D647" s="66">
        <f>IF(C647="","",IFERROR(INDEX('Produtos'!$B$5:$B$204,MATCH(C647,'Produtos'!$A$5:$A$204,0)),"Código não cadastrado"))</f>
        <v/>
      </c>
      <c r="E647" s="58" t="n"/>
      <c r="F647" s="61" t="n"/>
      <c r="G647" s="59" t="n"/>
      <c r="H647" s="59" t="n"/>
      <c r="I647" s="67">
        <f>IF(OR(A647="",C647=""),"",IFERROR(INDEX('Produtos'!$F$5:$F$204,MATCH(C647,'Produtos'!$A$5:$A$204,0))+SUMIFS($F$5:$F$1004,$C$5:$C$1004,C647,$E$5:$E$1004,"Entrada",$A$5:$A$1004,"&lt;="&amp;A647)-SUMIFS($F$5:$F$1004,$C$5:$C$1004,C647,$E$5:$E$1004,"Saída",$A$5:$A$1004,"&lt;="&amp;A647),""))</f>
        <v/>
      </c>
      <c r="J647" s="68">
        <f>IF(A647="","",A647+ROW()/100000)</f>
        <v/>
      </c>
    </row>
    <row r="648">
      <c r="A648" s="65" t="n"/>
      <c r="B648" s="58" t="n"/>
      <c r="C648" s="58" t="n"/>
      <c r="D648" s="66">
        <f>IF(C648="","",IFERROR(INDEX('Produtos'!$B$5:$B$204,MATCH(C648,'Produtos'!$A$5:$A$204,0)),"Código não cadastrado"))</f>
        <v/>
      </c>
      <c r="E648" s="58" t="n"/>
      <c r="F648" s="61" t="n"/>
      <c r="G648" s="59" t="n"/>
      <c r="H648" s="59" t="n"/>
      <c r="I648" s="67">
        <f>IF(OR(A648="",C648=""),"",IFERROR(INDEX('Produtos'!$F$5:$F$204,MATCH(C648,'Produtos'!$A$5:$A$204,0))+SUMIFS($F$5:$F$1004,$C$5:$C$1004,C648,$E$5:$E$1004,"Entrada",$A$5:$A$1004,"&lt;="&amp;A648)-SUMIFS($F$5:$F$1004,$C$5:$C$1004,C648,$E$5:$E$1004,"Saída",$A$5:$A$1004,"&lt;="&amp;A648),""))</f>
        <v/>
      </c>
      <c r="J648" s="68">
        <f>IF(A648="","",A648+ROW()/100000)</f>
        <v/>
      </c>
    </row>
    <row r="649">
      <c r="A649" s="65" t="n"/>
      <c r="B649" s="58" t="n"/>
      <c r="C649" s="58" t="n"/>
      <c r="D649" s="66">
        <f>IF(C649="","",IFERROR(INDEX('Produtos'!$B$5:$B$204,MATCH(C649,'Produtos'!$A$5:$A$204,0)),"Código não cadastrado"))</f>
        <v/>
      </c>
      <c r="E649" s="58" t="n"/>
      <c r="F649" s="61" t="n"/>
      <c r="G649" s="59" t="n"/>
      <c r="H649" s="59" t="n"/>
      <c r="I649" s="67">
        <f>IF(OR(A649="",C649=""),"",IFERROR(INDEX('Produtos'!$F$5:$F$204,MATCH(C649,'Produtos'!$A$5:$A$204,0))+SUMIFS($F$5:$F$1004,$C$5:$C$1004,C649,$E$5:$E$1004,"Entrada",$A$5:$A$1004,"&lt;="&amp;A649)-SUMIFS($F$5:$F$1004,$C$5:$C$1004,C649,$E$5:$E$1004,"Saída",$A$5:$A$1004,"&lt;="&amp;A649),""))</f>
        <v/>
      </c>
      <c r="J649" s="68">
        <f>IF(A649="","",A649+ROW()/100000)</f>
        <v/>
      </c>
    </row>
    <row r="650">
      <c r="A650" s="65" t="n"/>
      <c r="B650" s="58" t="n"/>
      <c r="C650" s="58" t="n"/>
      <c r="D650" s="66">
        <f>IF(C650="","",IFERROR(INDEX('Produtos'!$B$5:$B$204,MATCH(C650,'Produtos'!$A$5:$A$204,0)),"Código não cadastrado"))</f>
        <v/>
      </c>
      <c r="E650" s="58" t="n"/>
      <c r="F650" s="61" t="n"/>
      <c r="G650" s="59" t="n"/>
      <c r="H650" s="59" t="n"/>
      <c r="I650" s="67">
        <f>IF(OR(A650="",C650=""),"",IFERROR(INDEX('Produtos'!$F$5:$F$204,MATCH(C650,'Produtos'!$A$5:$A$204,0))+SUMIFS($F$5:$F$1004,$C$5:$C$1004,C650,$E$5:$E$1004,"Entrada",$A$5:$A$1004,"&lt;="&amp;A650)-SUMIFS($F$5:$F$1004,$C$5:$C$1004,C650,$E$5:$E$1004,"Saída",$A$5:$A$1004,"&lt;="&amp;A650),""))</f>
        <v/>
      </c>
      <c r="J650" s="68">
        <f>IF(A650="","",A650+ROW()/100000)</f>
        <v/>
      </c>
    </row>
    <row r="651">
      <c r="A651" s="65" t="n"/>
      <c r="B651" s="58" t="n"/>
      <c r="C651" s="58" t="n"/>
      <c r="D651" s="66">
        <f>IF(C651="","",IFERROR(INDEX('Produtos'!$B$5:$B$204,MATCH(C651,'Produtos'!$A$5:$A$204,0)),"Código não cadastrado"))</f>
        <v/>
      </c>
      <c r="E651" s="58" t="n"/>
      <c r="F651" s="61" t="n"/>
      <c r="G651" s="59" t="n"/>
      <c r="H651" s="59" t="n"/>
      <c r="I651" s="67">
        <f>IF(OR(A651="",C651=""),"",IFERROR(INDEX('Produtos'!$F$5:$F$204,MATCH(C651,'Produtos'!$A$5:$A$204,0))+SUMIFS($F$5:$F$1004,$C$5:$C$1004,C651,$E$5:$E$1004,"Entrada",$A$5:$A$1004,"&lt;="&amp;A651)-SUMIFS($F$5:$F$1004,$C$5:$C$1004,C651,$E$5:$E$1004,"Saída",$A$5:$A$1004,"&lt;="&amp;A651),""))</f>
        <v/>
      </c>
      <c r="J651" s="68">
        <f>IF(A651="","",A651+ROW()/100000)</f>
        <v/>
      </c>
    </row>
    <row r="652">
      <c r="A652" s="65" t="n"/>
      <c r="B652" s="58" t="n"/>
      <c r="C652" s="58" t="n"/>
      <c r="D652" s="66">
        <f>IF(C652="","",IFERROR(INDEX('Produtos'!$B$5:$B$204,MATCH(C652,'Produtos'!$A$5:$A$204,0)),"Código não cadastrado"))</f>
        <v/>
      </c>
      <c r="E652" s="58" t="n"/>
      <c r="F652" s="61" t="n"/>
      <c r="G652" s="59" t="n"/>
      <c r="H652" s="59" t="n"/>
      <c r="I652" s="67">
        <f>IF(OR(A652="",C652=""),"",IFERROR(INDEX('Produtos'!$F$5:$F$204,MATCH(C652,'Produtos'!$A$5:$A$204,0))+SUMIFS($F$5:$F$1004,$C$5:$C$1004,C652,$E$5:$E$1004,"Entrada",$A$5:$A$1004,"&lt;="&amp;A652)-SUMIFS($F$5:$F$1004,$C$5:$C$1004,C652,$E$5:$E$1004,"Saída",$A$5:$A$1004,"&lt;="&amp;A652),""))</f>
        <v/>
      </c>
      <c r="J652" s="68">
        <f>IF(A652="","",A652+ROW()/100000)</f>
        <v/>
      </c>
    </row>
    <row r="653">
      <c r="A653" s="65" t="n"/>
      <c r="B653" s="58" t="n"/>
      <c r="C653" s="58" t="n"/>
      <c r="D653" s="66">
        <f>IF(C653="","",IFERROR(INDEX('Produtos'!$B$5:$B$204,MATCH(C653,'Produtos'!$A$5:$A$204,0)),"Código não cadastrado"))</f>
        <v/>
      </c>
      <c r="E653" s="58" t="n"/>
      <c r="F653" s="61" t="n"/>
      <c r="G653" s="59" t="n"/>
      <c r="H653" s="59" t="n"/>
      <c r="I653" s="67">
        <f>IF(OR(A653="",C653=""),"",IFERROR(INDEX('Produtos'!$F$5:$F$204,MATCH(C653,'Produtos'!$A$5:$A$204,0))+SUMIFS($F$5:$F$1004,$C$5:$C$1004,C653,$E$5:$E$1004,"Entrada",$A$5:$A$1004,"&lt;="&amp;A653)-SUMIFS($F$5:$F$1004,$C$5:$C$1004,C653,$E$5:$E$1004,"Saída",$A$5:$A$1004,"&lt;="&amp;A653),""))</f>
        <v/>
      </c>
      <c r="J653" s="68">
        <f>IF(A653="","",A653+ROW()/100000)</f>
        <v/>
      </c>
    </row>
    <row r="654">
      <c r="A654" s="65" t="n"/>
      <c r="B654" s="58" t="n"/>
      <c r="C654" s="58" t="n"/>
      <c r="D654" s="66">
        <f>IF(C654="","",IFERROR(INDEX('Produtos'!$B$5:$B$204,MATCH(C654,'Produtos'!$A$5:$A$204,0)),"Código não cadastrado"))</f>
        <v/>
      </c>
      <c r="E654" s="58" t="n"/>
      <c r="F654" s="61" t="n"/>
      <c r="G654" s="59" t="n"/>
      <c r="H654" s="59" t="n"/>
      <c r="I654" s="67">
        <f>IF(OR(A654="",C654=""),"",IFERROR(INDEX('Produtos'!$F$5:$F$204,MATCH(C654,'Produtos'!$A$5:$A$204,0))+SUMIFS($F$5:$F$1004,$C$5:$C$1004,C654,$E$5:$E$1004,"Entrada",$A$5:$A$1004,"&lt;="&amp;A654)-SUMIFS($F$5:$F$1004,$C$5:$C$1004,C654,$E$5:$E$1004,"Saída",$A$5:$A$1004,"&lt;="&amp;A654),""))</f>
        <v/>
      </c>
      <c r="J654" s="68">
        <f>IF(A654="","",A654+ROW()/100000)</f>
        <v/>
      </c>
    </row>
    <row r="655">
      <c r="A655" s="65" t="n"/>
      <c r="B655" s="58" t="n"/>
      <c r="C655" s="58" t="n"/>
      <c r="D655" s="66">
        <f>IF(C655="","",IFERROR(INDEX('Produtos'!$B$5:$B$204,MATCH(C655,'Produtos'!$A$5:$A$204,0)),"Código não cadastrado"))</f>
        <v/>
      </c>
      <c r="E655" s="58" t="n"/>
      <c r="F655" s="61" t="n"/>
      <c r="G655" s="59" t="n"/>
      <c r="H655" s="59" t="n"/>
      <c r="I655" s="67">
        <f>IF(OR(A655="",C655=""),"",IFERROR(INDEX('Produtos'!$F$5:$F$204,MATCH(C655,'Produtos'!$A$5:$A$204,0))+SUMIFS($F$5:$F$1004,$C$5:$C$1004,C655,$E$5:$E$1004,"Entrada",$A$5:$A$1004,"&lt;="&amp;A655)-SUMIFS($F$5:$F$1004,$C$5:$C$1004,C655,$E$5:$E$1004,"Saída",$A$5:$A$1004,"&lt;="&amp;A655),""))</f>
        <v/>
      </c>
      <c r="J655" s="68">
        <f>IF(A655="","",A655+ROW()/100000)</f>
        <v/>
      </c>
    </row>
    <row r="656">
      <c r="A656" s="65" t="n"/>
      <c r="B656" s="58" t="n"/>
      <c r="C656" s="58" t="n"/>
      <c r="D656" s="66">
        <f>IF(C656="","",IFERROR(INDEX('Produtos'!$B$5:$B$204,MATCH(C656,'Produtos'!$A$5:$A$204,0)),"Código não cadastrado"))</f>
        <v/>
      </c>
      <c r="E656" s="58" t="n"/>
      <c r="F656" s="61" t="n"/>
      <c r="G656" s="59" t="n"/>
      <c r="H656" s="59" t="n"/>
      <c r="I656" s="67">
        <f>IF(OR(A656="",C656=""),"",IFERROR(INDEX('Produtos'!$F$5:$F$204,MATCH(C656,'Produtos'!$A$5:$A$204,0))+SUMIFS($F$5:$F$1004,$C$5:$C$1004,C656,$E$5:$E$1004,"Entrada",$A$5:$A$1004,"&lt;="&amp;A656)-SUMIFS($F$5:$F$1004,$C$5:$C$1004,C656,$E$5:$E$1004,"Saída",$A$5:$A$1004,"&lt;="&amp;A656),""))</f>
        <v/>
      </c>
      <c r="J656" s="68">
        <f>IF(A656="","",A656+ROW()/100000)</f>
        <v/>
      </c>
    </row>
    <row r="657">
      <c r="A657" s="65" t="n"/>
      <c r="B657" s="58" t="n"/>
      <c r="C657" s="58" t="n"/>
      <c r="D657" s="66">
        <f>IF(C657="","",IFERROR(INDEX('Produtos'!$B$5:$B$204,MATCH(C657,'Produtos'!$A$5:$A$204,0)),"Código não cadastrado"))</f>
        <v/>
      </c>
      <c r="E657" s="58" t="n"/>
      <c r="F657" s="61" t="n"/>
      <c r="G657" s="59" t="n"/>
      <c r="H657" s="59" t="n"/>
      <c r="I657" s="67">
        <f>IF(OR(A657="",C657=""),"",IFERROR(INDEX('Produtos'!$F$5:$F$204,MATCH(C657,'Produtos'!$A$5:$A$204,0))+SUMIFS($F$5:$F$1004,$C$5:$C$1004,C657,$E$5:$E$1004,"Entrada",$A$5:$A$1004,"&lt;="&amp;A657)-SUMIFS($F$5:$F$1004,$C$5:$C$1004,C657,$E$5:$E$1004,"Saída",$A$5:$A$1004,"&lt;="&amp;A657),""))</f>
        <v/>
      </c>
      <c r="J657" s="68">
        <f>IF(A657="","",A657+ROW()/100000)</f>
        <v/>
      </c>
    </row>
    <row r="658">
      <c r="A658" s="65" t="n"/>
      <c r="B658" s="58" t="n"/>
      <c r="C658" s="58" t="n"/>
      <c r="D658" s="66">
        <f>IF(C658="","",IFERROR(INDEX('Produtos'!$B$5:$B$204,MATCH(C658,'Produtos'!$A$5:$A$204,0)),"Código não cadastrado"))</f>
        <v/>
      </c>
      <c r="E658" s="58" t="n"/>
      <c r="F658" s="61" t="n"/>
      <c r="G658" s="59" t="n"/>
      <c r="H658" s="59" t="n"/>
      <c r="I658" s="67">
        <f>IF(OR(A658="",C658=""),"",IFERROR(INDEX('Produtos'!$F$5:$F$204,MATCH(C658,'Produtos'!$A$5:$A$204,0))+SUMIFS($F$5:$F$1004,$C$5:$C$1004,C658,$E$5:$E$1004,"Entrada",$A$5:$A$1004,"&lt;="&amp;A658)-SUMIFS($F$5:$F$1004,$C$5:$C$1004,C658,$E$5:$E$1004,"Saída",$A$5:$A$1004,"&lt;="&amp;A658),""))</f>
        <v/>
      </c>
      <c r="J658" s="68">
        <f>IF(A658="","",A658+ROW()/100000)</f>
        <v/>
      </c>
    </row>
    <row r="659">
      <c r="A659" s="65" t="n"/>
      <c r="B659" s="58" t="n"/>
      <c r="C659" s="58" t="n"/>
      <c r="D659" s="66">
        <f>IF(C659="","",IFERROR(INDEX('Produtos'!$B$5:$B$204,MATCH(C659,'Produtos'!$A$5:$A$204,0)),"Código não cadastrado"))</f>
        <v/>
      </c>
      <c r="E659" s="58" t="n"/>
      <c r="F659" s="61" t="n"/>
      <c r="G659" s="59" t="n"/>
      <c r="H659" s="59" t="n"/>
      <c r="I659" s="67">
        <f>IF(OR(A659="",C659=""),"",IFERROR(INDEX('Produtos'!$F$5:$F$204,MATCH(C659,'Produtos'!$A$5:$A$204,0))+SUMIFS($F$5:$F$1004,$C$5:$C$1004,C659,$E$5:$E$1004,"Entrada",$A$5:$A$1004,"&lt;="&amp;A659)-SUMIFS($F$5:$F$1004,$C$5:$C$1004,C659,$E$5:$E$1004,"Saída",$A$5:$A$1004,"&lt;="&amp;A659),""))</f>
        <v/>
      </c>
      <c r="J659" s="68">
        <f>IF(A659="","",A659+ROW()/100000)</f>
        <v/>
      </c>
    </row>
    <row r="660">
      <c r="A660" s="65" t="n"/>
      <c r="B660" s="58" t="n"/>
      <c r="C660" s="58" t="n"/>
      <c r="D660" s="66">
        <f>IF(C660="","",IFERROR(INDEX('Produtos'!$B$5:$B$204,MATCH(C660,'Produtos'!$A$5:$A$204,0)),"Código não cadastrado"))</f>
        <v/>
      </c>
      <c r="E660" s="58" t="n"/>
      <c r="F660" s="61" t="n"/>
      <c r="G660" s="59" t="n"/>
      <c r="H660" s="59" t="n"/>
      <c r="I660" s="67">
        <f>IF(OR(A660="",C660=""),"",IFERROR(INDEX('Produtos'!$F$5:$F$204,MATCH(C660,'Produtos'!$A$5:$A$204,0))+SUMIFS($F$5:$F$1004,$C$5:$C$1004,C660,$E$5:$E$1004,"Entrada",$A$5:$A$1004,"&lt;="&amp;A660)-SUMIFS($F$5:$F$1004,$C$5:$C$1004,C660,$E$5:$E$1004,"Saída",$A$5:$A$1004,"&lt;="&amp;A660),""))</f>
        <v/>
      </c>
      <c r="J660" s="68">
        <f>IF(A660="","",A660+ROW()/100000)</f>
        <v/>
      </c>
    </row>
    <row r="661">
      <c r="A661" s="65" t="n"/>
      <c r="B661" s="58" t="n"/>
      <c r="C661" s="58" t="n"/>
      <c r="D661" s="66">
        <f>IF(C661="","",IFERROR(INDEX('Produtos'!$B$5:$B$204,MATCH(C661,'Produtos'!$A$5:$A$204,0)),"Código não cadastrado"))</f>
        <v/>
      </c>
      <c r="E661" s="58" t="n"/>
      <c r="F661" s="61" t="n"/>
      <c r="G661" s="59" t="n"/>
      <c r="H661" s="59" t="n"/>
      <c r="I661" s="67">
        <f>IF(OR(A661="",C661=""),"",IFERROR(INDEX('Produtos'!$F$5:$F$204,MATCH(C661,'Produtos'!$A$5:$A$204,0))+SUMIFS($F$5:$F$1004,$C$5:$C$1004,C661,$E$5:$E$1004,"Entrada",$A$5:$A$1004,"&lt;="&amp;A661)-SUMIFS($F$5:$F$1004,$C$5:$C$1004,C661,$E$5:$E$1004,"Saída",$A$5:$A$1004,"&lt;="&amp;A661),""))</f>
        <v/>
      </c>
      <c r="J661" s="68">
        <f>IF(A661="","",A661+ROW()/100000)</f>
        <v/>
      </c>
    </row>
    <row r="662">
      <c r="A662" s="65" t="n"/>
      <c r="B662" s="58" t="n"/>
      <c r="C662" s="58" t="n"/>
      <c r="D662" s="66">
        <f>IF(C662="","",IFERROR(INDEX('Produtos'!$B$5:$B$204,MATCH(C662,'Produtos'!$A$5:$A$204,0)),"Código não cadastrado"))</f>
        <v/>
      </c>
      <c r="E662" s="58" t="n"/>
      <c r="F662" s="61" t="n"/>
      <c r="G662" s="59" t="n"/>
      <c r="H662" s="59" t="n"/>
      <c r="I662" s="67">
        <f>IF(OR(A662="",C662=""),"",IFERROR(INDEX('Produtos'!$F$5:$F$204,MATCH(C662,'Produtos'!$A$5:$A$204,0))+SUMIFS($F$5:$F$1004,$C$5:$C$1004,C662,$E$5:$E$1004,"Entrada",$A$5:$A$1004,"&lt;="&amp;A662)-SUMIFS($F$5:$F$1004,$C$5:$C$1004,C662,$E$5:$E$1004,"Saída",$A$5:$A$1004,"&lt;="&amp;A662),""))</f>
        <v/>
      </c>
      <c r="J662" s="68">
        <f>IF(A662="","",A662+ROW()/100000)</f>
        <v/>
      </c>
    </row>
    <row r="663">
      <c r="A663" s="65" t="n"/>
      <c r="B663" s="58" t="n"/>
      <c r="C663" s="58" t="n"/>
      <c r="D663" s="66">
        <f>IF(C663="","",IFERROR(INDEX('Produtos'!$B$5:$B$204,MATCH(C663,'Produtos'!$A$5:$A$204,0)),"Código não cadastrado"))</f>
        <v/>
      </c>
      <c r="E663" s="58" t="n"/>
      <c r="F663" s="61" t="n"/>
      <c r="G663" s="59" t="n"/>
      <c r="H663" s="59" t="n"/>
      <c r="I663" s="67">
        <f>IF(OR(A663="",C663=""),"",IFERROR(INDEX('Produtos'!$F$5:$F$204,MATCH(C663,'Produtos'!$A$5:$A$204,0))+SUMIFS($F$5:$F$1004,$C$5:$C$1004,C663,$E$5:$E$1004,"Entrada",$A$5:$A$1004,"&lt;="&amp;A663)-SUMIFS($F$5:$F$1004,$C$5:$C$1004,C663,$E$5:$E$1004,"Saída",$A$5:$A$1004,"&lt;="&amp;A663),""))</f>
        <v/>
      </c>
      <c r="J663" s="68">
        <f>IF(A663="","",A663+ROW()/100000)</f>
        <v/>
      </c>
    </row>
    <row r="664">
      <c r="A664" s="65" t="n"/>
      <c r="B664" s="58" t="n"/>
      <c r="C664" s="58" t="n"/>
      <c r="D664" s="66">
        <f>IF(C664="","",IFERROR(INDEX('Produtos'!$B$5:$B$204,MATCH(C664,'Produtos'!$A$5:$A$204,0)),"Código não cadastrado"))</f>
        <v/>
      </c>
      <c r="E664" s="58" t="n"/>
      <c r="F664" s="61" t="n"/>
      <c r="G664" s="59" t="n"/>
      <c r="H664" s="59" t="n"/>
      <c r="I664" s="67">
        <f>IF(OR(A664="",C664=""),"",IFERROR(INDEX('Produtos'!$F$5:$F$204,MATCH(C664,'Produtos'!$A$5:$A$204,0))+SUMIFS($F$5:$F$1004,$C$5:$C$1004,C664,$E$5:$E$1004,"Entrada",$A$5:$A$1004,"&lt;="&amp;A664)-SUMIFS($F$5:$F$1004,$C$5:$C$1004,C664,$E$5:$E$1004,"Saída",$A$5:$A$1004,"&lt;="&amp;A664),""))</f>
        <v/>
      </c>
      <c r="J664" s="68">
        <f>IF(A664="","",A664+ROW()/100000)</f>
        <v/>
      </c>
    </row>
    <row r="665">
      <c r="A665" s="65" t="n"/>
      <c r="B665" s="58" t="n"/>
      <c r="C665" s="58" t="n"/>
      <c r="D665" s="66">
        <f>IF(C665="","",IFERROR(INDEX('Produtos'!$B$5:$B$204,MATCH(C665,'Produtos'!$A$5:$A$204,0)),"Código não cadastrado"))</f>
        <v/>
      </c>
      <c r="E665" s="58" t="n"/>
      <c r="F665" s="61" t="n"/>
      <c r="G665" s="59" t="n"/>
      <c r="H665" s="59" t="n"/>
      <c r="I665" s="67">
        <f>IF(OR(A665="",C665=""),"",IFERROR(INDEX('Produtos'!$F$5:$F$204,MATCH(C665,'Produtos'!$A$5:$A$204,0))+SUMIFS($F$5:$F$1004,$C$5:$C$1004,C665,$E$5:$E$1004,"Entrada",$A$5:$A$1004,"&lt;="&amp;A665)-SUMIFS($F$5:$F$1004,$C$5:$C$1004,C665,$E$5:$E$1004,"Saída",$A$5:$A$1004,"&lt;="&amp;A665),""))</f>
        <v/>
      </c>
      <c r="J665" s="68">
        <f>IF(A665="","",A665+ROW()/100000)</f>
        <v/>
      </c>
    </row>
    <row r="666">
      <c r="A666" s="65" t="n"/>
      <c r="B666" s="58" t="n"/>
      <c r="C666" s="58" t="n"/>
      <c r="D666" s="66">
        <f>IF(C666="","",IFERROR(INDEX('Produtos'!$B$5:$B$204,MATCH(C666,'Produtos'!$A$5:$A$204,0)),"Código não cadastrado"))</f>
        <v/>
      </c>
      <c r="E666" s="58" t="n"/>
      <c r="F666" s="61" t="n"/>
      <c r="G666" s="59" t="n"/>
      <c r="H666" s="59" t="n"/>
      <c r="I666" s="67">
        <f>IF(OR(A666="",C666=""),"",IFERROR(INDEX('Produtos'!$F$5:$F$204,MATCH(C666,'Produtos'!$A$5:$A$204,0))+SUMIFS($F$5:$F$1004,$C$5:$C$1004,C666,$E$5:$E$1004,"Entrada",$A$5:$A$1004,"&lt;="&amp;A666)-SUMIFS($F$5:$F$1004,$C$5:$C$1004,C666,$E$5:$E$1004,"Saída",$A$5:$A$1004,"&lt;="&amp;A666),""))</f>
        <v/>
      </c>
      <c r="J666" s="68">
        <f>IF(A666="","",A666+ROW()/100000)</f>
        <v/>
      </c>
    </row>
    <row r="667">
      <c r="A667" s="65" t="n"/>
      <c r="B667" s="58" t="n"/>
      <c r="C667" s="58" t="n"/>
      <c r="D667" s="66">
        <f>IF(C667="","",IFERROR(INDEX('Produtos'!$B$5:$B$204,MATCH(C667,'Produtos'!$A$5:$A$204,0)),"Código não cadastrado"))</f>
        <v/>
      </c>
      <c r="E667" s="58" t="n"/>
      <c r="F667" s="61" t="n"/>
      <c r="G667" s="59" t="n"/>
      <c r="H667" s="59" t="n"/>
      <c r="I667" s="67">
        <f>IF(OR(A667="",C667=""),"",IFERROR(INDEX('Produtos'!$F$5:$F$204,MATCH(C667,'Produtos'!$A$5:$A$204,0))+SUMIFS($F$5:$F$1004,$C$5:$C$1004,C667,$E$5:$E$1004,"Entrada",$A$5:$A$1004,"&lt;="&amp;A667)-SUMIFS($F$5:$F$1004,$C$5:$C$1004,C667,$E$5:$E$1004,"Saída",$A$5:$A$1004,"&lt;="&amp;A667),""))</f>
        <v/>
      </c>
      <c r="J667" s="68">
        <f>IF(A667="","",A667+ROW()/100000)</f>
        <v/>
      </c>
    </row>
    <row r="668">
      <c r="A668" s="65" t="n"/>
      <c r="B668" s="58" t="n"/>
      <c r="C668" s="58" t="n"/>
      <c r="D668" s="66">
        <f>IF(C668="","",IFERROR(INDEX('Produtos'!$B$5:$B$204,MATCH(C668,'Produtos'!$A$5:$A$204,0)),"Código não cadastrado"))</f>
        <v/>
      </c>
      <c r="E668" s="58" t="n"/>
      <c r="F668" s="61" t="n"/>
      <c r="G668" s="59" t="n"/>
      <c r="H668" s="59" t="n"/>
      <c r="I668" s="67">
        <f>IF(OR(A668="",C668=""),"",IFERROR(INDEX('Produtos'!$F$5:$F$204,MATCH(C668,'Produtos'!$A$5:$A$204,0))+SUMIFS($F$5:$F$1004,$C$5:$C$1004,C668,$E$5:$E$1004,"Entrada",$A$5:$A$1004,"&lt;="&amp;A668)-SUMIFS($F$5:$F$1004,$C$5:$C$1004,C668,$E$5:$E$1004,"Saída",$A$5:$A$1004,"&lt;="&amp;A668),""))</f>
        <v/>
      </c>
      <c r="J668" s="68">
        <f>IF(A668="","",A668+ROW()/100000)</f>
        <v/>
      </c>
    </row>
    <row r="669">
      <c r="A669" s="65" t="n"/>
      <c r="B669" s="58" t="n"/>
      <c r="C669" s="58" t="n"/>
      <c r="D669" s="66">
        <f>IF(C669="","",IFERROR(INDEX('Produtos'!$B$5:$B$204,MATCH(C669,'Produtos'!$A$5:$A$204,0)),"Código não cadastrado"))</f>
        <v/>
      </c>
      <c r="E669" s="58" t="n"/>
      <c r="F669" s="61" t="n"/>
      <c r="G669" s="59" t="n"/>
      <c r="H669" s="59" t="n"/>
      <c r="I669" s="67">
        <f>IF(OR(A669="",C669=""),"",IFERROR(INDEX('Produtos'!$F$5:$F$204,MATCH(C669,'Produtos'!$A$5:$A$204,0))+SUMIFS($F$5:$F$1004,$C$5:$C$1004,C669,$E$5:$E$1004,"Entrada",$A$5:$A$1004,"&lt;="&amp;A669)-SUMIFS($F$5:$F$1004,$C$5:$C$1004,C669,$E$5:$E$1004,"Saída",$A$5:$A$1004,"&lt;="&amp;A669),""))</f>
        <v/>
      </c>
      <c r="J669" s="68">
        <f>IF(A669="","",A669+ROW()/100000)</f>
        <v/>
      </c>
    </row>
    <row r="670">
      <c r="A670" s="65" t="n"/>
      <c r="B670" s="58" t="n"/>
      <c r="C670" s="58" t="n"/>
      <c r="D670" s="66">
        <f>IF(C670="","",IFERROR(INDEX('Produtos'!$B$5:$B$204,MATCH(C670,'Produtos'!$A$5:$A$204,0)),"Código não cadastrado"))</f>
        <v/>
      </c>
      <c r="E670" s="58" t="n"/>
      <c r="F670" s="61" t="n"/>
      <c r="G670" s="59" t="n"/>
      <c r="H670" s="59" t="n"/>
      <c r="I670" s="67">
        <f>IF(OR(A670="",C670=""),"",IFERROR(INDEX('Produtos'!$F$5:$F$204,MATCH(C670,'Produtos'!$A$5:$A$204,0))+SUMIFS($F$5:$F$1004,$C$5:$C$1004,C670,$E$5:$E$1004,"Entrada",$A$5:$A$1004,"&lt;="&amp;A670)-SUMIFS($F$5:$F$1004,$C$5:$C$1004,C670,$E$5:$E$1004,"Saída",$A$5:$A$1004,"&lt;="&amp;A670),""))</f>
        <v/>
      </c>
      <c r="J670" s="68">
        <f>IF(A670="","",A670+ROW()/100000)</f>
        <v/>
      </c>
    </row>
    <row r="671">
      <c r="A671" s="65" t="n"/>
      <c r="B671" s="58" t="n"/>
      <c r="C671" s="58" t="n"/>
      <c r="D671" s="66">
        <f>IF(C671="","",IFERROR(INDEX('Produtos'!$B$5:$B$204,MATCH(C671,'Produtos'!$A$5:$A$204,0)),"Código não cadastrado"))</f>
        <v/>
      </c>
      <c r="E671" s="58" t="n"/>
      <c r="F671" s="61" t="n"/>
      <c r="G671" s="59" t="n"/>
      <c r="H671" s="59" t="n"/>
      <c r="I671" s="67">
        <f>IF(OR(A671="",C671=""),"",IFERROR(INDEX('Produtos'!$F$5:$F$204,MATCH(C671,'Produtos'!$A$5:$A$204,0))+SUMIFS($F$5:$F$1004,$C$5:$C$1004,C671,$E$5:$E$1004,"Entrada",$A$5:$A$1004,"&lt;="&amp;A671)-SUMIFS($F$5:$F$1004,$C$5:$C$1004,C671,$E$5:$E$1004,"Saída",$A$5:$A$1004,"&lt;="&amp;A671),""))</f>
        <v/>
      </c>
      <c r="J671" s="68">
        <f>IF(A671="","",A671+ROW()/100000)</f>
        <v/>
      </c>
    </row>
    <row r="672">
      <c r="A672" s="65" t="n"/>
      <c r="B672" s="58" t="n"/>
      <c r="C672" s="58" t="n"/>
      <c r="D672" s="66">
        <f>IF(C672="","",IFERROR(INDEX('Produtos'!$B$5:$B$204,MATCH(C672,'Produtos'!$A$5:$A$204,0)),"Código não cadastrado"))</f>
        <v/>
      </c>
      <c r="E672" s="58" t="n"/>
      <c r="F672" s="61" t="n"/>
      <c r="G672" s="59" t="n"/>
      <c r="H672" s="59" t="n"/>
      <c r="I672" s="67">
        <f>IF(OR(A672="",C672=""),"",IFERROR(INDEX('Produtos'!$F$5:$F$204,MATCH(C672,'Produtos'!$A$5:$A$204,0))+SUMIFS($F$5:$F$1004,$C$5:$C$1004,C672,$E$5:$E$1004,"Entrada",$A$5:$A$1004,"&lt;="&amp;A672)-SUMIFS($F$5:$F$1004,$C$5:$C$1004,C672,$E$5:$E$1004,"Saída",$A$5:$A$1004,"&lt;="&amp;A672),""))</f>
        <v/>
      </c>
      <c r="J672" s="68">
        <f>IF(A672="","",A672+ROW()/100000)</f>
        <v/>
      </c>
    </row>
    <row r="673">
      <c r="A673" s="65" t="n"/>
      <c r="B673" s="58" t="n"/>
      <c r="C673" s="58" t="n"/>
      <c r="D673" s="66">
        <f>IF(C673="","",IFERROR(INDEX('Produtos'!$B$5:$B$204,MATCH(C673,'Produtos'!$A$5:$A$204,0)),"Código não cadastrado"))</f>
        <v/>
      </c>
      <c r="E673" s="58" t="n"/>
      <c r="F673" s="61" t="n"/>
      <c r="G673" s="59" t="n"/>
      <c r="H673" s="59" t="n"/>
      <c r="I673" s="67">
        <f>IF(OR(A673="",C673=""),"",IFERROR(INDEX('Produtos'!$F$5:$F$204,MATCH(C673,'Produtos'!$A$5:$A$204,0))+SUMIFS($F$5:$F$1004,$C$5:$C$1004,C673,$E$5:$E$1004,"Entrada",$A$5:$A$1004,"&lt;="&amp;A673)-SUMIFS($F$5:$F$1004,$C$5:$C$1004,C673,$E$5:$E$1004,"Saída",$A$5:$A$1004,"&lt;="&amp;A673),""))</f>
        <v/>
      </c>
      <c r="J673" s="68">
        <f>IF(A673="","",A673+ROW()/100000)</f>
        <v/>
      </c>
    </row>
    <row r="674">
      <c r="A674" s="65" t="n"/>
      <c r="B674" s="58" t="n"/>
      <c r="C674" s="58" t="n"/>
      <c r="D674" s="66">
        <f>IF(C674="","",IFERROR(INDEX('Produtos'!$B$5:$B$204,MATCH(C674,'Produtos'!$A$5:$A$204,0)),"Código não cadastrado"))</f>
        <v/>
      </c>
      <c r="E674" s="58" t="n"/>
      <c r="F674" s="61" t="n"/>
      <c r="G674" s="59" t="n"/>
      <c r="H674" s="59" t="n"/>
      <c r="I674" s="67">
        <f>IF(OR(A674="",C674=""),"",IFERROR(INDEX('Produtos'!$F$5:$F$204,MATCH(C674,'Produtos'!$A$5:$A$204,0))+SUMIFS($F$5:$F$1004,$C$5:$C$1004,C674,$E$5:$E$1004,"Entrada",$A$5:$A$1004,"&lt;="&amp;A674)-SUMIFS($F$5:$F$1004,$C$5:$C$1004,C674,$E$5:$E$1004,"Saída",$A$5:$A$1004,"&lt;="&amp;A674),""))</f>
        <v/>
      </c>
      <c r="J674" s="68">
        <f>IF(A674="","",A674+ROW()/100000)</f>
        <v/>
      </c>
    </row>
    <row r="675">
      <c r="A675" s="65" t="n"/>
      <c r="B675" s="58" t="n"/>
      <c r="C675" s="58" t="n"/>
      <c r="D675" s="66">
        <f>IF(C675="","",IFERROR(INDEX('Produtos'!$B$5:$B$204,MATCH(C675,'Produtos'!$A$5:$A$204,0)),"Código não cadastrado"))</f>
        <v/>
      </c>
      <c r="E675" s="58" t="n"/>
      <c r="F675" s="61" t="n"/>
      <c r="G675" s="59" t="n"/>
      <c r="H675" s="59" t="n"/>
      <c r="I675" s="67">
        <f>IF(OR(A675="",C675=""),"",IFERROR(INDEX('Produtos'!$F$5:$F$204,MATCH(C675,'Produtos'!$A$5:$A$204,0))+SUMIFS($F$5:$F$1004,$C$5:$C$1004,C675,$E$5:$E$1004,"Entrada",$A$5:$A$1004,"&lt;="&amp;A675)-SUMIFS($F$5:$F$1004,$C$5:$C$1004,C675,$E$5:$E$1004,"Saída",$A$5:$A$1004,"&lt;="&amp;A675),""))</f>
        <v/>
      </c>
      <c r="J675" s="68">
        <f>IF(A675="","",A675+ROW()/100000)</f>
        <v/>
      </c>
    </row>
    <row r="676">
      <c r="A676" s="65" t="n"/>
      <c r="B676" s="58" t="n"/>
      <c r="C676" s="58" t="n"/>
      <c r="D676" s="66">
        <f>IF(C676="","",IFERROR(INDEX('Produtos'!$B$5:$B$204,MATCH(C676,'Produtos'!$A$5:$A$204,0)),"Código não cadastrado"))</f>
        <v/>
      </c>
      <c r="E676" s="58" t="n"/>
      <c r="F676" s="61" t="n"/>
      <c r="G676" s="59" t="n"/>
      <c r="H676" s="59" t="n"/>
      <c r="I676" s="67">
        <f>IF(OR(A676="",C676=""),"",IFERROR(INDEX('Produtos'!$F$5:$F$204,MATCH(C676,'Produtos'!$A$5:$A$204,0))+SUMIFS($F$5:$F$1004,$C$5:$C$1004,C676,$E$5:$E$1004,"Entrada",$A$5:$A$1004,"&lt;="&amp;A676)-SUMIFS($F$5:$F$1004,$C$5:$C$1004,C676,$E$5:$E$1004,"Saída",$A$5:$A$1004,"&lt;="&amp;A676),""))</f>
        <v/>
      </c>
      <c r="J676" s="68">
        <f>IF(A676="","",A676+ROW()/100000)</f>
        <v/>
      </c>
    </row>
    <row r="677">
      <c r="A677" s="65" t="n"/>
      <c r="B677" s="58" t="n"/>
      <c r="C677" s="58" t="n"/>
      <c r="D677" s="66">
        <f>IF(C677="","",IFERROR(INDEX('Produtos'!$B$5:$B$204,MATCH(C677,'Produtos'!$A$5:$A$204,0)),"Código não cadastrado"))</f>
        <v/>
      </c>
      <c r="E677" s="58" t="n"/>
      <c r="F677" s="61" t="n"/>
      <c r="G677" s="59" t="n"/>
      <c r="H677" s="59" t="n"/>
      <c r="I677" s="67">
        <f>IF(OR(A677="",C677=""),"",IFERROR(INDEX('Produtos'!$F$5:$F$204,MATCH(C677,'Produtos'!$A$5:$A$204,0))+SUMIFS($F$5:$F$1004,$C$5:$C$1004,C677,$E$5:$E$1004,"Entrada",$A$5:$A$1004,"&lt;="&amp;A677)-SUMIFS($F$5:$F$1004,$C$5:$C$1004,C677,$E$5:$E$1004,"Saída",$A$5:$A$1004,"&lt;="&amp;A677),""))</f>
        <v/>
      </c>
      <c r="J677" s="68">
        <f>IF(A677="","",A677+ROW()/100000)</f>
        <v/>
      </c>
    </row>
    <row r="678">
      <c r="A678" s="65" t="n"/>
      <c r="B678" s="58" t="n"/>
      <c r="C678" s="58" t="n"/>
      <c r="D678" s="66">
        <f>IF(C678="","",IFERROR(INDEX('Produtos'!$B$5:$B$204,MATCH(C678,'Produtos'!$A$5:$A$204,0)),"Código não cadastrado"))</f>
        <v/>
      </c>
      <c r="E678" s="58" t="n"/>
      <c r="F678" s="61" t="n"/>
      <c r="G678" s="59" t="n"/>
      <c r="H678" s="59" t="n"/>
      <c r="I678" s="67">
        <f>IF(OR(A678="",C678=""),"",IFERROR(INDEX('Produtos'!$F$5:$F$204,MATCH(C678,'Produtos'!$A$5:$A$204,0))+SUMIFS($F$5:$F$1004,$C$5:$C$1004,C678,$E$5:$E$1004,"Entrada",$A$5:$A$1004,"&lt;="&amp;A678)-SUMIFS($F$5:$F$1004,$C$5:$C$1004,C678,$E$5:$E$1004,"Saída",$A$5:$A$1004,"&lt;="&amp;A678),""))</f>
        <v/>
      </c>
      <c r="J678" s="68">
        <f>IF(A678="","",A678+ROW()/100000)</f>
        <v/>
      </c>
    </row>
    <row r="679">
      <c r="A679" s="65" t="n"/>
      <c r="B679" s="58" t="n"/>
      <c r="C679" s="58" t="n"/>
      <c r="D679" s="66">
        <f>IF(C679="","",IFERROR(INDEX('Produtos'!$B$5:$B$204,MATCH(C679,'Produtos'!$A$5:$A$204,0)),"Código não cadastrado"))</f>
        <v/>
      </c>
      <c r="E679" s="58" t="n"/>
      <c r="F679" s="61" t="n"/>
      <c r="G679" s="59" t="n"/>
      <c r="H679" s="59" t="n"/>
      <c r="I679" s="67">
        <f>IF(OR(A679="",C679=""),"",IFERROR(INDEX('Produtos'!$F$5:$F$204,MATCH(C679,'Produtos'!$A$5:$A$204,0))+SUMIFS($F$5:$F$1004,$C$5:$C$1004,C679,$E$5:$E$1004,"Entrada",$A$5:$A$1004,"&lt;="&amp;A679)-SUMIFS($F$5:$F$1004,$C$5:$C$1004,C679,$E$5:$E$1004,"Saída",$A$5:$A$1004,"&lt;="&amp;A679),""))</f>
        <v/>
      </c>
      <c r="J679" s="68">
        <f>IF(A679="","",A679+ROW()/100000)</f>
        <v/>
      </c>
    </row>
    <row r="680">
      <c r="A680" s="65" t="n"/>
      <c r="B680" s="58" t="n"/>
      <c r="C680" s="58" t="n"/>
      <c r="D680" s="66">
        <f>IF(C680="","",IFERROR(INDEX('Produtos'!$B$5:$B$204,MATCH(C680,'Produtos'!$A$5:$A$204,0)),"Código não cadastrado"))</f>
        <v/>
      </c>
      <c r="E680" s="58" t="n"/>
      <c r="F680" s="61" t="n"/>
      <c r="G680" s="59" t="n"/>
      <c r="H680" s="59" t="n"/>
      <c r="I680" s="67">
        <f>IF(OR(A680="",C680=""),"",IFERROR(INDEX('Produtos'!$F$5:$F$204,MATCH(C680,'Produtos'!$A$5:$A$204,0))+SUMIFS($F$5:$F$1004,$C$5:$C$1004,C680,$E$5:$E$1004,"Entrada",$A$5:$A$1004,"&lt;="&amp;A680)-SUMIFS($F$5:$F$1004,$C$5:$C$1004,C680,$E$5:$E$1004,"Saída",$A$5:$A$1004,"&lt;="&amp;A680),""))</f>
        <v/>
      </c>
      <c r="J680" s="68">
        <f>IF(A680="","",A680+ROW()/100000)</f>
        <v/>
      </c>
    </row>
    <row r="681">
      <c r="A681" s="65" t="n"/>
      <c r="B681" s="58" t="n"/>
      <c r="C681" s="58" t="n"/>
      <c r="D681" s="66">
        <f>IF(C681="","",IFERROR(INDEX('Produtos'!$B$5:$B$204,MATCH(C681,'Produtos'!$A$5:$A$204,0)),"Código não cadastrado"))</f>
        <v/>
      </c>
      <c r="E681" s="58" t="n"/>
      <c r="F681" s="61" t="n"/>
      <c r="G681" s="59" t="n"/>
      <c r="H681" s="59" t="n"/>
      <c r="I681" s="67">
        <f>IF(OR(A681="",C681=""),"",IFERROR(INDEX('Produtos'!$F$5:$F$204,MATCH(C681,'Produtos'!$A$5:$A$204,0))+SUMIFS($F$5:$F$1004,$C$5:$C$1004,C681,$E$5:$E$1004,"Entrada",$A$5:$A$1004,"&lt;="&amp;A681)-SUMIFS($F$5:$F$1004,$C$5:$C$1004,C681,$E$5:$E$1004,"Saída",$A$5:$A$1004,"&lt;="&amp;A681),""))</f>
        <v/>
      </c>
      <c r="J681" s="68">
        <f>IF(A681="","",A681+ROW()/100000)</f>
        <v/>
      </c>
    </row>
    <row r="682">
      <c r="A682" s="65" t="n"/>
      <c r="B682" s="58" t="n"/>
      <c r="C682" s="58" t="n"/>
      <c r="D682" s="66">
        <f>IF(C682="","",IFERROR(INDEX('Produtos'!$B$5:$B$204,MATCH(C682,'Produtos'!$A$5:$A$204,0)),"Código não cadastrado"))</f>
        <v/>
      </c>
      <c r="E682" s="58" t="n"/>
      <c r="F682" s="61" t="n"/>
      <c r="G682" s="59" t="n"/>
      <c r="H682" s="59" t="n"/>
      <c r="I682" s="67">
        <f>IF(OR(A682="",C682=""),"",IFERROR(INDEX('Produtos'!$F$5:$F$204,MATCH(C682,'Produtos'!$A$5:$A$204,0))+SUMIFS($F$5:$F$1004,$C$5:$C$1004,C682,$E$5:$E$1004,"Entrada",$A$5:$A$1004,"&lt;="&amp;A682)-SUMIFS($F$5:$F$1004,$C$5:$C$1004,C682,$E$5:$E$1004,"Saída",$A$5:$A$1004,"&lt;="&amp;A682),""))</f>
        <v/>
      </c>
      <c r="J682" s="68">
        <f>IF(A682="","",A682+ROW()/100000)</f>
        <v/>
      </c>
    </row>
    <row r="683">
      <c r="A683" s="65" t="n"/>
      <c r="B683" s="58" t="n"/>
      <c r="C683" s="58" t="n"/>
      <c r="D683" s="66">
        <f>IF(C683="","",IFERROR(INDEX('Produtos'!$B$5:$B$204,MATCH(C683,'Produtos'!$A$5:$A$204,0)),"Código não cadastrado"))</f>
        <v/>
      </c>
      <c r="E683" s="58" t="n"/>
      <c r="F683" s="61" t="n"/>
      <c r="G683" s="59" t="n"/>
      <c r="H683" s="59" t="n"/>
      <c r="I683" s="67">
        <f>IF(OR(A683="",C683=""),"",IFERROR(INDEX('Produtos'!$F$5:$F$204,MATCH(C683,'Produtos'!$A$5:$A$204,0))+SUMIFS($F$5:$F$1004,$C$5:$C$1004,C683,$E$5:$E$1004,"Entrada",$A$5:$A$1004,"&lt;="&amp;A683)-SUMIFS($F$5:$F$1004,$C$5:$C$1004,C683,$E$5:$E$1004,"Saída",$A$5:$A$1004,"&lt;="&amp;A683),""))</f>
        <v/>
      </c>
      <c r="J683" s="68">
        <f>IF(A683="","",A683+ROW()/100000)</f>
        <v/>
      </c>
    </row>
    <row r="684">
      <c r="A684" s="65" t="n"/>
      <c r="B684" s="58" t="n"/>
      <c r="C684" s="58" t="n"/>
      <c r="D684" s="66">
        <f>IF(C684="","",IFERROR(INDEX('Produtos'!$B$5:$B$204,MATCH(C684,'Produtos'!$A$5:$A$204,0)),"Código não cadastrado"))</f>
        <v/>
      </c>
      <c r="E684" s="58" t="n"/>
      <c r="F684" s="61" t="n"/>
      <c r="G684" s="59" t="n"/>
      <c r="H684" s="59" t="n"/>
      <c r="I684" s="67">
        <f>IF(OR(A684="",C684=""),"",IFERROR(INDEX('Produtos'!$F$5:$F$204,MATCH(C684,'Produtos'!$A$5:$A$204,0))+SUMIFS($F$5:$F$1004,$C$5:$C$1004,C684,$E$5:$E$1004,"Entrada",$A$5:$A$1004,"&lt;="&amp;A684)-SUMIFS($F$5:$F$1004,$C$5:$C$1004,C684,$E$5:$E$1004,"Saída",$A$5:$A$1004,"&lt;="&amp;A684),""))</f>
        <v/>
      </c>
      <c r="J684" s="68">
        <f>IF(A684="","",A684+ROW()/100000)</f>
        <v/>
      </c>
    </row>
    <row r="685">
      <c r="A685" s="65" t="n"/>
      <c r="B685" s="58" t="n"/>
      <c r="C685" s="58" t="n"/>
      <c r="D685" s="66">
        <f>IF(C685="","",IFERROR(INDEX('Produtos'!$B$5:$B$204,MATCH(C685,'Produtos'!$A$5:$A$204,0)),"Código não cadastrado"))</f>
        <v/>
      </c>
      <c r="E685" s="58" t="n"/>
      <c r="F685" s="61" t="n"/>
      <c r="G685" s="59" t="n"/>
      <c r="H685" s="59" t="n"/>
      <c r="I685" s="67">
        <f>IF(OR(A685="",C685=""),"",IFERROR(INDEX('Produtos'!$F$5:$F$204,MATCH(C685,'Produtos'!$A$5:$A$204,0))+SUMIFS($F$5:$F$1004,$C$5:$C$1004,C685,$E$5:$E$1004,"Entrada",$A$5:$A$1004,"&lt;="&amp;A685)-SUMIFS($F$5:$F$1004,$C$5:$C$1004,C685,$E$5:$E$1004,"Saída",$A$5:$A$1004,"&lt;="&amp;A685),""))</f>
        <v/>
      </c>
      <c r="J685" s="68">
        <f>IF(A685="","",A685+ROW()/100000)</f>
        <v/>
      </c>
    </row>
    <row r="686">
      <c r="A686" s="65" t="n"/>
      <c r="B686" s="58" t="n"/>
      <c r="C686" s="58" t="n"/>
      <c r="D686" s="66">
        <f>IF(C686="","",IFERROR(INDEX('Produtos'!$B$5:$B$204,MATCH(C686,'Produtos'!$A$5:$A$204,0)),"Código não cadastrado"))</f>
        <v/>
      </c>
      <c r="E686" s="58" t="n"/>
      <c r="F686" s="61" t="n"/>
      <c r="G686" s="59" t="n"/>
      <c r="H686" s="59" t="n"/>
      <c r="I686" s="67">
        <f>IF(OR(A686="",C686=""),"",IFERROR(INDEX('Produtos'!$F$5:$F$204,MATCH(C686,'Produtos'!$A$5:$A$204,0))+SUMIFS($F$5:$F$1004,$C$5:$C$1004,C686,$E$5:$E$1004,"Entrada",$A$5:$A$1004,"&lt;="&amp;A686)-SUMIFS($F$5:$F$1004,$C$5:$C$1004,C686,$E$5:$E$1004,"Saída",$A$5:$A$1004,"&lt;="&amp;A686),""))</f>
        <v/>
      </c>
      <c r="J686" s="68">
        <f>IF(A686="","",A686+ROW()/100000)</f>
        <v/>
      </c>
    </row>
    <row r="687">
      <c r="A687" s="65" t="n"/>
      <c r="B687" s="58" t="n"/>
      <c r="C687" s="58" t="n"/>
      <c r="D687" s="66">
        <f>IF(C687="","",IFERROR(INDEX('Produtos'!$B$5:$B$204,MATCH(C687,'Produtos'!$A$5:$A$204,0)),"Código não cadastrado"))</f>
        <v/>
      </c>
      <c r="E687" s="58" t="n"/>
      <c r="F687" s="61" t="n"/>
      <c r="G687" s="59" t="n"/>
      <c r="H687" s="59" t="n"/>
      <c r="I687" s="67">
        <f>IF(OR(A687="",C687=""),"",IFERROR(INDEX('Produtos'!$F$5:$F$204,MATCH(C687,'Produtos'!$A$5:$A$204,0))+SUMIFS($F$5:$F$1004,$C$5:$C$1004,C687,$E$5:$E$1004,"Entrada",$A$5:$A$1004,"&lt;="&amp;A687)-SUMIFS($F$5:$F$1004,$C$5:$C$1004,C687,$E$5:$E$1004,"Saída",$A$5:$A$1004,"&lt;="&amp;A687),""))</f>
        <v/>
      </c>
      <c r="J687" s="68">
        <f>IF(A687="","",A687+ROW()/100000)</f>
        <v/>
      </c>
    </row>
    <row r="688">
      <c r="A688" s="65" t="n"/>
      <c r="B688" s="58" t="n"/>
      <c r="C688" s="58" t="n"/>
      <c r="D688" s="66">
        <f>IF(C688="","",IFERROR(INDEX('Produtos'!$B$5:$B$204,MATCH(C688,'Produtos'!$A$5:$A$204,0)),"Código não cadastrado"))</f>
        <v/>
      </c>
      <c r="E688" s="58" t="n"/>
      <c r="F688" s="61" t="n"/>
      <c r="G688" s="59" t="n"/>
      <c r="H688" s="59" t="n"/>
      <c r="I688" s="67">
        <f>IF(OR(A688="",C688=""),"",IFERROR(INDEX('Produtos'!$F$5:$F$204,MATCH(C688,'Produtos'!$A$5:$A$204,0))+SUMIFS($F$5:$F$1004,$C$5:$C$1004,C688,$E$5:$E$1004,"Entrada",$A$5:$A$1004,"&lt;="&amp;A688)-SUMIFS($F$5:$F$1004,$C$5:$C$1004,C688,$E$5:$E$1004,"Saída",$A$5:$A$1004,"&lt;="&amp;A688),""))</f>
        <v/>
      </c>
      <c r="J688" s="68">
        <f>IF(A688="","",A688+ROW()/100000)</f>
        <v/>
      </c>
    </row>
    <row r="689">
      <c r="A689" s="65" t="n"/>
      <c r="B689" s="58" t="n"/>
      <c r="C689" s="58" t="n"/>
      <c r="D689" s="66">
        <f>IF(C689="","",IFERROR(INDEX('Produtos'!$B$5:$B$204,MATCH(C689,'Produtos'!$A$5:$A$204,0)),"Código não cadastrado"))</f>
        <v/>
      </c>
      <c r="E689" s="58" t="n"/>
      <c r="F689" s="61" t="n"/>
      <c r="G689" s="59" t="n"/>
      <c r="H689" s="59" t="n"/>
      <c r="I689" s="67">
        <f>IF(OR(A689="",C689=""),"",IFERROR(INDEX('Produtos'!$F$5:$F$204,MATCH(C689,'Produtos'!$A$5:$A$204,0))+SUMIFS($F$5:$F$1004,$C$5:$C$1004,C689,$E$5:$E$1004,"Entrada",$A$5:$A$1004,"&lt;="&amp;A689)-SUMIFS($F$5:$F$1004,$C$5:$C$1004,C689,$E$5:$E$1004,"Saída",$A$5:$A$1004,"&lt;="&amp;A689),""))</f>
        <v/>
      </c>
      <c r="J689" s="68">
        <f>IF(A689="","",A689+ROW()/100000)</f>
        <v/>
      </c>
    </row>
    <row r="690">
      <c r="A690" s="65" t="n"/>
      <c r="B690" s="58" t="n"/>
      <c r="C690" s="58" t="n"/>
      <c r="D690" s="66">
        <f>IF(C690="","",IFERROR(INDEX('Produtos'!$B$5:$B$204,MATCH(C690,'Produtos'!$A$5:$A$204,0)),"Código não cadastrado"))</f>
        <v/>
      </c>
      <c r="E690" s="58" t="n"/>
      <c r="F690" s="61" t="n"/>
      <c r="G690" s="59" t="n"/>
      <c r="H690" s="59" t="n"/>
      <c r="I690" s="67">
        <f>IF(OR(A690="",C690=""),"",IFERROR(INDEX('Produtos'!$F$5:$F$204,MATCH(C690,'Produtos'!$A$5:$A$204,0))+SUMIFS($F$5:$F$1004,$C$5:$C$1004,C690,$E$5:$E$1004,"Entrada",$A$5:$A$1004,"&lt;="&amp;A690)-SUMIFS($F$5:$F$1004,$C$5:$C$1004,C690,$E$5:$E$1004,"Saída",$A$5:$A$1004,"&lt;="&amp;A690),""))</f>
        <v/>
      </c>
      <c r="J690" s="68">
        <f>IF(A690="","",A690+ROW()/100000)</f>
        <v/>
      </c>
    </row>
    <row r="691">
      <c r="A691" s="65" t="n"/>
      <c r="B691" s="58" t="n"/>
      <c r="C691" s="58" t="n"/>
      <c r="D691" s="66">
        <f>IF(C691="","",IFERROR(INDEX('Produtos'!$B$5:$B$204,MATCH(C691,'Produtos'!$A$5:$A$204,0)),"Código não cadastrado"))</f>
        <v/>
      </c>
      <c r="E691" s="58" t="n"/>
      <c r="F691" s="61" t="n"/>
      <c r="G691" s="59" t="n"/>
      <c r="H691" s="59" t="n"/>
      <c r="I691" s="67">
        <f>IF(OR(A691="",C691=""),"",IFERROR(INDEX('Produtos'!$F$5:$F$204,MATCH(C691,'Produtos'!$A$5:$A$204,0))+SUMIFS($F$5:$F$1004,$C$5:$C$1004,C691,$E$5:$E$1004,"Entrada",$A$5:$A$1004,"&lt;="&amp;A691)-SUMIFS($F$5:$F$1004,$C$5:$C$1004,C691,$E$5:$E$1004,"Saída",$A$5:$A$1004,"&lt;="&amp;A691),""))</f>
        <v/>
      </c>
      <c r="J691" s="68">
        <f>IF(A691="","",A691+ROW()/100000)</f>
        <v/>
      </c>
    </row>
    <row r="692">
      <c r="A692" s="65" t="n"/>
      <c r="B692" s="58" t="n"/>
      <c r="C692" s="58" t="n"/>
      <c r="D692" s="66">
        <f>IF(C692="","",IFERROR(INDEX('Produtos'!$B$5:$B$204,MATCH(C692,'Produtos'!$A$5:$A$204,0)),"Código não cadastrado"))</f>
        <v/>
      </c>
      <c r="E692" s="58" t="n"/>
      <c r="F692" s="61" t="n"/>
      <c r="G692" s="59" t="n"/>
      <c r="H692" s="59" t="n"/>
      <c r="I692" s="67">
        <f>IF(OR(A692="",C692=""),"",IFERROR(INDEX('Produtos'!$F$5:$F$204,MATCH(C692,'Produtos'!$A$5:$A$204,0))+SUMIFS($F$5:$F$1004,$C$5:$C$1004,C692,$E$5:$E$1004,"Entrada",$A$5:$A$1004,"&lt;="&amp;A692)-SUMIFS($F$5:$F$1004,$C$5:$C$1004,C692,$E$5:$E$1004,"Saída",$A$5:$A$1004,"&lt;="&amp;A692),""))</f>
        <v/>
      </c>
      <c r="J692" s="68">
        <f>IF(A692="","",A692+ROW()/100000)</f>
        <v/>
      </c>
    </row>
    <row r="693">
      <c r="A693" s="65" t="n"/>
      <c r="B693" s="58" t="n"/>
      <c r="C693" s="58" t="n"/>
      <c r="D693" s="66">
        <f>IF(C693="","",IFERROR(INDEX('Produtos'!$B$5:$B$204,MATCH(C693,'Produtos'!$A$5:$A$204,0)),"Código não cadastrado"))</f>
        <v/>
      </c>
      <c r="E693" s="58" t="n"/>
      <c r="F693" s="61" t="n"/>
      <c r="G693" s="59" t="n"/>
      <c r="H693" s="59" t="n"/>
      <c r="I693" s="67">
        <f>IF(OR(A693="",C693=""),"",IFERROR(INDEX('Produtos'!$F$5:$F$204,MATCH(C693,'Produtos'!$A$5:$A$204,0))+SUMIFS($F$5:$F$1004,$C$5:$C$1004,C693,$E$5:$E$1004,"Entrada",$A$5:$A$1004,"&lt;="&amp;A693)-SUMIFS($F$5:$F$1004,$C$5:$C$1004,C693,$E$5:$E$1004,"Saída",$A$5:$A$1004,"&lt;="&amp;A693),""))</f>
        <v/>
      </c>
      <c r="J693" s="68">
        <f>IF(A693="","",A693+ROW()/100000)</f>
        <v/>
      </c>
    </row>
    <row r="694">
      <c r="A694" s="65" t="n"/>
      <c r="B694" s="58" t="n"/>
      <c r="C694" s="58" t="n"/>
      <c r="D694" s="66">
        <f>IF(C694="","",IFERROR(INDEX('Produtos'!$B$5:$B$204,MATCH(C694,'Produtos'!$A$5:$A$204,0)),"Código não cadastrado"))</f>
        <v/>
      </c>
      <c r="E694" s="58" t="n"/>
      <c r="F694" s="61" t="n"/>
      <c r="G694" s="59" t="n"/>
      <c r="H694" s="59" t="n"/>
      <c r="I694" s="67">
        <f>IF(OR(A694="",C694=""),"",IFERROR(INDEX('Produtos'!$F$5:$F$204,MATCH(C694,'Produtos'!$A$5:$A$204,0))+SUMIFS($F$5:$F$1004,$C$5:$C$1004,C694,$E$5:$E$1004,"Entrada",$A$5:$A$1004,"&lt;="&amp;A694)-SUMIFS($F$5:$F$1004,$C$5:$C$1004,C694,$E$5:$E$1004,"Saída",$A$5:$A$1004,"&lt;="&amp;A694),""))</f>
        <v/>
      </c>
      <c r="J694" s="68">
        <f>IF(A694="","",A694+ROW()/100000)</f>
        <v/>
      </c>
    </row>
    <row r="695">
      <c r="A695" s="65" t="n"/>
      <c r="B695" s="58" t="n"/>
      <c r="C695" s="58" t="n"/>
      <c r="D695" s="66">
        <f>IF(C695="","",IFERROR(INDEX('Produtos'!$B$5:$B$204,MATCH(C695,'Produtos'!$A$5:$A$204,0)),"Código não cadastrado"))</f>
        <v/>
      </c>
      <c r="E695" s="58" t="n"/>
      <c r="F695" s="61" t="n"/>
      <c r="G695" s="59" t="n"/>
      <c r="H695" s="59" t="n"/>
      <c r="I695" s="67">
        <f>IF(OR(A695="",C695=""),"",IFERROR(INDEX('Produtos'!$F$5:$F$204,MATCH(C695,'Produtos'!$A$5:$A$204,0))+SUMIFS($F$5:$F$1004,$C$5:$C$1004,C695,$E$5:$E$1004,"Entrada",$A$5:$A$1004,"&lt;="&amp;A695)-SUMIFS($F$5:$F$1004,$C$5:$C$1004,C695,$E$5:$E$1004,"Saída",$A$5:$A$1004,"&lt;="&amp;A695),""))</f>
        <v/>
      </c>
      <c r="J695" s="68">
        <f>IF(A695="","",A695+ROW()/100000)</f>
        <v/>
      </c>
    </row>
    <row r="696">
      <c r="A696" s="65" t="n"/>
      <c r="B696" s="58" t="n"/>
      <c r="C696" s="58" t="n"/>
      <c r="D696" s="66">
        <f>IF(C696="","",IFERROR(INDEX('Produtos'!$B$5:$B$204,MATCH(C696,'Produtos'!$A$5:$A$204,0)),"Código não cadastrado"))</f>
        <v/>
      </c>
      <c r="E696" s="58" t="n"/>
      <c r="F696" s="61" t="n"/>
      <c r="G696" s="59" t="n"/>
      <c r="H696" s="59" t="n"/>
      <c r="I696" s="67">
        <f>IF(OR(A696="",C696=""),"",IFERROR(INDEX('Produtos'!$F$5:$F$204,MATCH(C696,'Produtos'!$A$5:$A$204,0))+SUMIFS($F$5:$F$1004,$C$5:$C$1004,C696,$E$5:$E$1004,"Entrada",$A$5:$A$1004,"&lt;="&amp;A696)-SUMIFS($F$5:$F$1004,$C$5:$C$1004,C696,$E$5:$E$1004,"Saída",$A$5:$A$1004,"&lt;="&amp;A696),""))</f>
        <v/>
      </c>
      <c r="J696" s="68">
        <f>IF(A696="","",A696+ROW()/100000)</f>
        <v/>
      </c>
    </row>
    <row r="697">
      <c r="A697" s="65" t="n"/>
      <c r="B697" s="58" t="n"/>
      <c r="C697" s="58" t="n"/>
      <c r="D697" s="66">
        <f>IF(C697="","",IFERROR(INDEX('Produtos'!$B$5:$B$204,MATCH(C697,'Produtos'!$A$5:$A$204,0)),"Código não cadastrado"))</f>
        <v/>
      </c>
      <c r="E697" s="58" t="n"/>
      <c r="F697" s="61" t="n"/>
      <c r="G697" s="59" t="n"/>
      <c r="H697" s="59" t="n"/>
      <c r="I697" s="67">
        <f>IF(OR(A697="",C697=""),"",IFERROR(INDEX('Produtos'!$F$5:$F$204,MATCH(C697,'Produtos'!$A$5:$A$204,0))+SUMIFS($F$5:$F$1004,$C$5:$C$1004,C697,$E$5:$E$1004,"Entrada",$A$5:$A$1004,"&lt;="&amp;A697)-SUMIFS($F$5:$F$1004,$C$5:$C$1004,C697,$E$5:$E$1004,"Saída",$A$5:$A$1004,"&lt;="&amp;A697),""))</f>
        <v/>
      </c>
      <c r="J697" s="68">
        <f>IF(A697="","",A697+ROW()/100000)</f>
        <v/>
      </c>
    </row>
    <row r="698">
      <c r="A698" s="65" t="n"/>
      <c r="B698" s="58" t="n"/>
      <c r="C698" s="58" t="n"/>
      <c r="D698" s="66">
        <f>IF(C698="","",IFERROR(INDEX('Produtos'!$B$5:$B$204,MATCH(C698,'Produtos'!$A$5:$A$204,0)),"Código não cadastrado"))</f>
        <v/>
      </c>
      <c r="E698" s="58" t="n"/>
      <c r="F698" s="61" t="n"/>
      <c r="G698" s="59" t="n"/>
      <c r="H698" s="59" t="n"/>
      <c r="I698" s="67">
        <f>IF(OR(A698="",C698=""),"",IFERROR(INDEX('Produtos'!$F$5:$F$204,MATCH(C698,'Produtos'!$A$5:$A$204,0))+SUMIFS($F$5:$F$1004,$C$5:$C$1004,C698,$E$5:$E$1004,"Entrada",$A$5:$A$1004,"&lt;="&amp;A698)-SUMIFS($F$5:$F$1004,$C$5:$C$1004,C698,$E$5:$E$1004,"Saída",$A$5:$A$1004,"&lt;="&amp;A698),""))</f>
        <v/>
      </c>
      <c r="J698" s="68">
        <f>IF(A698="","",A698+ROW()/100000)</f>
        <v/>
      </c>
    </row>
    <row r="699">
      <c r="A699" s="65" t="n"/>
      <c r="B699" s="58" t="n"/>
      <c r="C699" s="58" t="n"/>
      <c r="D699" s="66">
        <f>IF(C699="","",IFERROR(INDEX('Produtos'!$B$5:$B$204,MATCH(C699,'Produtos'!$A$5:$A$204,0)),"Código não cadastrado"))</f>
        <v/>
      </c>
      <c r="E699" s="58" t="n"/>
      <c r="F699" s="61" t="n"/>
      <c r="G699" s="59" t="n"/>
      <c r="H699" s="59" t="n"/>
      <c r="I699" s="67">
        <f>IF(OR(A699="",C699=""),"",IFERROR(INDEX('Produtos'!$F$5:$F$204,MATCH(C699,'Produtos'!$A$5:$A$204,0))+SUMIFS($F$5:$F$1004,$C$5:$C$1004,C699,$E$5:$E$1004,"Entrada",$A$5:$A$1004,"&lt;="&amp;A699)-SUMIFS($F$5:$F$1004,$C$5:$C$1004,C699,$E$5:$E$1004,"Saída",$A$5:$A$1004,"&lt;="&amp;A699),""))</f>
        <v/>
      </c>
      <c r="J699" s="68">
        <f>IF(A699="","",A699+ROW()/100000)</f>
        <v/>
      </c>
    </row>
    <row r="700">
      <c r="A700" s="65" t="n"/>
      <c r="B700" s="58" t="n"/>
      <c r="C700" s="58" t="n"/>
      <c r="D700" s="66">
        <f>IF(C700="","",IFERROR(INDEX('Produtos'!$B$5:$B$204,MATCH(C700,'Produtos'!$A$5:$A$204,0)),"Código não cadastrado"))</f>
        <v/>
      </c>
      <c r="E700" s="58" t="n"/>
      <c r="F700" s="61" t="n"/>
      <c r="G700" s="59" t="n"/>
      <c r="H700" s="59" t="n"/>
      <c r="I700" s="67">
        <f>IF(OR(A700="",C700=""),"",IFERROR(INDEX('Produtos'!$F$5:$F$204,MATCH(C700,'Produtos'!$A$5:$A$204,0))+SUMIFS($F$5:$F$1004,$C$5:$C$1004,C700,$E$5:$E$1004,"Entrada",$A$5:$A$1004,"&lt;="&amp;A700)-SUMIFS($F$5:$F$1004,$C$5:$C$1004,C700,$E$5:$E$1004,"Saída",$A$5:$A$1004,"&lt;="&amp;A700),""))</f>
        <v/>
      </c>
      <c r="J700" s="68">
        <f>IF(A700="","",A700+ROW()/100000)</f>
        <v/>
      </c>
    </row>
    <row r="701">
      <c r="A701" s="65" t="n"/>
      <c r="B701" s="58" t="n"/>
      <c r="C701" s="58" t="n"/>
      <c r="D701" s="66">
        <f>IF(C701="","",IFERROR(INDEX('Produtos'!$B$5:$B$204,MATCH(C701,'Produtos'!$A$5:$A$204,0)),"Código não cadastrado"))</f>
        <v/>
      </c>
      <c r="E701" s="58" t="n"/>
      <c r="F701" s="61" t="n"/>
      <c r="G701" s="59" t="n"/>
      <c r="H701" s="59" t="n"/>
      <c r="I701" s="67">
        <f>IF(OR(A701="",C701=""),"",IFERROR(INDEX('Produtos'!$F$5:$F$204,MATCH(C701,'Produtos'!$A$5:$A$204,0))+SUMIFS($F$5:$F$1004,$C$5:$C$1004,C701,$E$5:$E$1004,"Entrada",$A$5:$A$1004,"&lt;="&amp;A701)-SUMIFS($F$5:$F$1004,$C$5:$C$1004,C701,$E$5:$E$1004,"Saída",$A$5:$A$1004,"&lt;="&amp;A701),""))</f>
        <v/>
      </c>
      <c r="J701" s="68">
        <f>IF(A701="","",A701+ROW()/100000)</f>
        <v/>
      </c>
    </row>
    <row r="702">
      <c r="A702" s="65" t="n"/>
      <c r="B702" s="58" t="n"/>
      <c r="C702" s="58" t="n"/>
      <c r="D702" s="66">
        <f>IF(C702="","",IFERROR(INDEX('Produtos'!$B$5:$B$204,MATCH(C702,'Produtos'!$A$5:$A$204,0)),"Código não cadastrado"))</f>
        <v/>
      </c>
      <c r="E702" s="58" t="n"/>
      <c r="F702" s="61" t="n"/>
      <c r="G702" s="59" t="n"/>
      <c r="H702" s="59" t="n"/>
      <c r="I702" s="67">
        <f>IF(OR(A702="",C702=""),"",IFERROR(INDEX('Produtos'!$F$5:$F$204,MATCH(C702,'Produtos'!$A$5:$A$204,0))+SUMIFS($F$5:$F$1004,$C$5:$C$1004,C702,$E$5:$E$1004,"Entrada",$A$5:$A$1004,"&lt;="&amp;A702)-SUMIFS($F$5:$F$1004,$C$5:$C$1004,C702,$E$5:$E$1004,"Saída",$A$5:$A$1004,"&lt;="&amp;A702),""))</f>
        <v/>
      </c>
      <c r="J702" s="68">
        <f>IF(A702="","",A702+ROW()/100000)</f>
        <v/>
      </c>
    </row>
    <row r="703">
      <c r="A703" s="65" t="n"/>
      <c r="B703" s="58" t="n"/>
      <c r="C703" s="58" t="n"/>
      <c r="D703" s="66">
        <f>IF(C703="","",IFERROR(INDEX('Produtos'!$B$5:$B$204,MATCH(C703,'Produtos'!$A$5:$A$204,0)),"Código não cadastrado"))</f>
        <v/>
      </c>
      <c r="E703" s="58" t="n"/>
      <c r="F703" s="61" t="n"/>
      <c r="G703" s="59" t="n"/>
      <c r="H703" s="59" t="n"/>
      <c r="I703" s="67">
        <f>IF(OR(A703="",C703=""),"",IFERROR(INDEX('Produtos'!$F$5:$F$204,MATCH(C703,'Produtos'!$A$5:$A$204,0))+SUMIFS($F$5:$F$1004,$C$5:$C$1004,C703,$E$5:$E$1004,"Entrada",$A$5:$A$1004,"&lt;="&amp;A703)-SUMIFS($F$5:$F$1004,$C$5:$C$1004,C703,$E$5:$E$1004,"Saída",$A$5:$A$1004,"&lt;="&amp;A703),""))</f>
        <v/>
      </c>
      <c r="J703" s="68">
        <f>IF(A703="","",A703+ROW()/100000)</f>
        <v/>
      </c>
    </row>
    <row r="704">
      <c r="A704" s="65" t="n"/>
      <c r="B704" s="58" t="n"/>
      <c r="C704" s="58" t="n"/>
      <c r="D704" s="66">
        <f>IF(C704="","",IFERROR(INDEX('Produtos'!$B$5:$B$204,MATCH(C704,'Produtos'!$A$5:$A$204,0)),"Código não cadastrado"))</f>
        <v/>
      </c>
      <c r="E704" s="58" t="n"/>
      <c r="F704" s="61" t="n"/>
      <c r="G704" s="59" t="n"/>
      <c r="H704" s="59" t="n"/>
      <c r="I704" s="67">
        <f>IF(OR(A704="",C704=""),"",IFERROR(INDEX('Produtos'!$F$5:$F$204,MATCH(C704,'Produtos'!$A$5:$A$204,0))+SUMIFS($F$5:$F$1004,$C$5:$C$1004,C704,$E$5:$E$1004,"Entrada",$A$5:$A$1004,"&lt;="&amp;A704)-SUMIFS($F$5:$F$1004,$C$5:$C$1004,C704,$E$5:$E$1004,"Saída",$A$5:$A$1004,"&lt;="&amp;A704),""))</f>
        <v/>
      </c>
      <c r="J704" s="68">
        <f>IF(A704="","",A704+ROW()/100000)</f>
        <v/>
      </c>
    </row>
    <row r="705">
      <c r="A705" s="65" t="n"/>
      <c r="B705" s="58" t="n"/>
      <c r="C705" s="58" t="n"/>
      <c r="D705" s="66">
        <f>IF(C705="","",IFERROR(INDEX('Produtos'!$B$5:$B$204,MATCH(C705,'Produtos'!$A$5:$A$204,0)),"Código não cadastrado"))</f>
        <v/>
      </c>
      <c r="E705" s="58" t="n"/>
      <c r="F705" s="61" t="n"/>
      <c r="G705" s="59" t="n"/>
      <c r="H705" s="59" t="n"/>
      <c r="I705" s="67">
        <f>IF(OR(A705="",C705=""),"",IFERROR(INDEX('Produtos'!$F$5:$F$204,MATCH(C705,'Produtos'!$A$5:$A$204,0))+SUMIFS($F$5:$F$1004,$C$5:$C$1004,C705,$E$5:$E$1004,"Entrada",$A$5:$A$1004,"&lt;="&amp;A705)-SUMIFS($F$5:$F$1004,$C$5:$C$1004,C705,$E$5:$E$1004,"Saída",$A$5:$A$1004,"&lt;="&amp;A705),""))</f>
        <v/>
      </c>
      <c r="J705" s="68">
        <f>IF(A705="","",A705+ROW()/100000)</f>
        <v/>
      </c>
    </row>
    <row r="706">
      <c r="A706" s="65" t="n"/>
      <c r="B706" s="58" t="n"/>
      <c r="C706" s="58" t="n"/>
      <c r="D706" s="66">
        <f>IF(C706="","",IFERROR(INDEX('Produtos'!$B$5:$B$204,MATCH(C706,'Produtos'!$A$5:$A$204,0)),"Código não cadastrado"))</f>
        <v/>
      </c>
      <c r="E706" s="58" t="n"/>
      <c r="F706" s="61" t="n"/>
      <c r="G706" s="59" t="n"/>
      <c r="H706" s="59" t="n"/>
      <c r="I706" s="67">
        <f>IF(OR(A706="",C706=""),"",IFERROR(INDEX('Produtos'!$F$5:$F$204,MATCH(C706,'Produtos'!$A$5:$A$204,0))+SUMIFS($F$5:$F$1004,$C$5:$C$1004,C706,$E$5:$E$1004,"Entrada",$A$5:$A$1004,"&lt;="&amp;A706)-SUMIFS($F$5:$F$1004,$C$5:$C$1004,C706,$E$5:$E$1004,"Saída",$A$5:$A$1004,"&lt;="&amp;A706),""))</f>
        <v/>
      </c>
      <c r="J706" s="68">
        <f>IF(A706="","",A706+ROW()/100000)</f>
        <v/>
      </c>
    </row>
    <row r="707">
      <c r="A707" s="65" t="n"/>
      <c r="B707" s="58" t="n"/>
      <c r="C707" s="58" t="n"/>
      <c r="D707" s="66">
        <f>IF(C707="","",IFERROR(INDEX('Produtos'!$B$5:$B$204,MATCH(C707,'Produtos'!$A$5:$A$204,0)),"Código não cadastrado"))</f>
        <v/>
      </c>
      <c r="E707" s="58" t="n"/>
      <c r="F707" s="61" t="n"/>
      <c r="G707" s="59" t="n"/>
      <c r="H707" s="59" t="n"/>
      <c r="I707" s="67">
        <f>IF(OR(A707="",C707=""),"",IFERROR(INDEX('Produtos'!$F$5:$F$204,MATCH(C707,'Produtos'!$A$5:$A$204,0))+SUMIFS($F$5:$F$1004,$C$5:$C$1004,C707,$E$5:$E$1004,"Entrada",$A$5:$A$1004,"&lt;="&amp;A707)-SUMIFS($F$5:$F$1004,$C$5:$C$1004,C707,$E$5:$E$1004,"Saída",$A$5:$A$1004,"&lt;="&amp;A707),""))</f>
        <v/>
      </c>
      <c r="J707" s="68">
        <f>IF(A707="","",A707+ROW()/100000)</f>
        <v/>
      </c>
    </row>
    <row r="708">
      <c r="A708" s="65" t="n"/>
      <c r="B708" s="58" t="n"/>
      <c r="C708" s="58" t="n"/>
      <c r="D708" s="66">
        <f>IF(C708="","",IFERROR(INDEX('Produtos'!$B$5:$B$204,MATCH(C708,'Produtos'!$A$5:$A$204,0)),"Código não cadastrado"))</f>
        <v/>
      </c>
      <c r="E708" s="58" t="n"/>
      <c r="F708" s="61" t="n"/>
      <c r="G708" s="59" t="n"/>
      <c r="H708" s="59" t="n"/>
      <c r="I708" s="67">
        <f>IF(OR(A708="",C708=""),"",IFERROR(INDEX('Produtos'!$F$5:$F$204,MATCH(C708,'Produtos'!$A$5:$A$204,0))+SUMIFS($F$5:$F$1004,$C$5:$C$1004,C708,$E$5:$E$1004,"Entrada",$A$5:$A$1004,"&lt;="&amp;A708)-SUMIFS($F$5:$F$1004,$C$5:$C$1004,C708,$E$5:$E$1004,"Saída",$A$5:$A$1004,"&lt;="&amp;A708),""))</f>
        <v/>
      </c>
      <c r="J708" s="68">
        <f>IF(A708="","",A708+ROW()/100000)</f>
        <v/>
      </c>
    </row>
    <row r="709">
      <c r="A709" s="65" t="n"/>
      <c r="B709" s="58" t="n"/>
      <c r="C709" s="58" t="n"/>
      <c r="D709" s="66">
        <f>IF(C709="","",IFERROR(INDEX('Produtos'!$B$5:$B$204,MATCH(C709,'Produtos'!$A$5:$A$204,0)),"Código não cadastrado"))</f>
        <v/>
      </c>
      <c r="E709" s="58" t="n"/>
      <c r="F709" s="61" t="n"/>
      <c r="G709" s="59" t="n"/>
      <c r="H709" s="59" t="n"/>
      <c r="I709" s="67">
        <f>IF(OR(A709="",C709=""),"",IFERROR(INDEX('Produtos'!$F$5:$F$204,MATCH(C709,'Produtos'!$A$5:$A$204,0))+SUMIFS($F$5:$F$1004,$C$5:$C$1004,C709,$E$5:$E$1004,"Entrada",$A$5:$A$1004,"&lt;="&amp;A709)-SUMIFS($F$5:$F$1004,$C$5:$C$1004,C709,$E$5:$E$1004,"Saída",$A$5:$A$1004,"&lt;="&amp;A709),""))</f>
        <v/>
      </c>
      <c r="J709" s="68">
        <f>IF(A709="","",A709+ROW()/100000)</f>
        <v/>
      </c>
    </row>
    <row r="710">
      <c r="A710" s="65" t="n"/>
      <c r="B710" s="58" t="n"/>
      <c r="C710" s="58" t="n"/>
      <c r="D710" s="66">
        <f>IF(C710="","",IFERROR(INDEX('Produtos'!$B$5:$B$204,MATCH(C710,'Produtos'!$A$5:$A$204,0)),"Código não cadastrado"))</f>
        <v/>
      </c>
      <c r="E710" s="58" t="n"/>
      <c r="F710" s="61" t="n"/>
      <c r="G710" s="59" t="n"/>
      <c r="H710" s="59" t="n"/>
      <c r="I710" s="67">
        <f>IF(OR(A710="",C710=""),"",IFERROR(INDEX('Produtos'!$F$5:$F$204,MATCH(C710,'Produtos'!$A$5:$A$204,0))+SUMIFS($F$5:$F$1004,$C$5:$C$1004,C710,$E$5:$E$1004,"Entrada",$A$5:$A$1004,"&lt;="&amp;A710)-SUMIFS($F$5:$F$1004,$C$5:$C$1004,C710,$E$5:$E$1004,"Saída",$A$5:$A$1004,"&lt;="&amp;A710),""))</f>
        <v/>
      </c>
      <c r="J710" s="68">
        <f>IF(A710="","",A710+ROW()/100000)</f>
        <v/>
      </c>
    </row>
    <row r="711">
      <c r="A711" s="65" t="n"/>
      <c r="B711" s="58" t="n"/>
      <c r="C711" s="58" t="n"/>
      <c r="D711" s="66">
        <f>IF(C711="","",IFERROR(INDEX('Produtos'!$B$5:$B$204,MATCH(C711,'Produtos'!$A$5:$A$204,0)),"Código não cadastrado"))</f>
        <v/>
      </c>
      <c r="E711" s="58" t="n"/>
      <c r="F711" s="61" t="n"/>
      <c r="G711" s="59" t="n"/>
      <c r="H711" s="59" t="n"/>
      <c r="I711" s="67">
        <f>IF(OR(A711="",C711=""),"",IFERROR(INDEX('Produtos'!$F$5:$F$204,MATCH(C711,'Produtos'!$A$5:$A$204,0))+SUMIFS($F$5:$F$1004,$C$5:$C$1004,C711,$E$5:$E$1004,"Entrada",$A$5:$A$1004,"&lt;="&amp;A711)-SUMIFS($F$5:$F$1004,$C$5:$C$1004,C711,$E$5:$E$1004,"Saída",$A$5:$A$1004,"&lt;="&amp;A711),""))</f>
        <v/>
      </c>
      <c r="J711" s="68">
        <f>IF(A711="","",A711+ROW()/100000)</f>
        <v/>
      </c>
    </row>
    <row r="712">
      <c r="A712" s="65" t="n"/>
      <c r="B712" s="58" t="n"/>
      <c r="C712" s="58" t="n"/>
      <c r="D712" s="66">
        <f>IF(C712="","",IFERROR(INDEX('Produtos'!$B$5:$B$204,MATCH(C712,'Produtos'!$A$5:$A$204,0)),"Código não cadastrado"))</f>
        <v/>
      </c>
      <c r="E712" s="58" t="n"/>
      <c r="F712" s="61" t="n"/>
      <c r="G712" s="59" t="n"/>
      <c r="H712" s="59" t="n"/>
      <c r="I712" s="67">
        <f>IF(OR(A712="",C712=""),"",IFERROR(INDEX('Produtos'!$F$5:$F$204,MATCH(C712,'Produtos'!$A$5:$A$204,0))+SUMIFS($F$5:$F$1004,$C$5:$C$1004,C712,$E$5:$E$1004,"Entrada",$A$5:$A$1004,"&lt;="&amp;A712)-SUMIFS($F$5:$F$1004,$C$5:$C$1004,C712,$E$5:$E$1004,"Saída",$A$5:$A$1004,"&lt;="&amp;A712),""))</f>
        <v/>
      </c>
      <c r="J712" s="68">
        <f>IF(A712="","",A712+ROW()/100000)</f>
        <v/>
      </c>
    </row>
    <row r="713">
      <c r="A713" s="65" t="n"/>
      <c r="B713" s="58" t="n"/>
      <c r="C713" s="58" t="n"/>
      <c r="D713" s="66">
        <f>IF(C713="","",IFERROR(INDEX('Produtos'!$B$5:$B$204,MATCH(C713,'Produtos'!$A$5:$A$204,0)),"Código não cadastrado"))</f>
        <v/>
      </c>
      <c r="E713" s="58" t="n"/>
      <c r="F713" s="61" t="n"/>
      <c r="G713" s="59" t="n"/>
      <c r="H713" s="59" t="n"/>
      <c r="I713" s="67">
        <f>IF(OR(A713="",C713=""),"",IFERROR(INDEX('Produtos'!$F$5:$F$204,MATCH(C713,'Produtos'!$A$5:$A$204,0))+SUMIFS($F$5:$F$1004,$C$5:$C$1004,C713,$E$5:$E$1004,"Entrada",$A$5:$A$1004,"&lt;="&amp;A713)-SUMIFS($F$5:$F$1004,$C$5:$C$1004,C713,$E$5:$E$1004,"Saída",$A$5:$A$1004,"&lt;="&amp;A713),""))</f>
        <v/>
      </c>
      <c r="J713" s="68">
        <f>IF(A713="","",A713+ROW()/100000)</f>
        <v/>
      </c>
    </row>
    <row r="714">
      <c r="A714" s="65" t="n"/>
      <c r="B714" s="58" t="n"/>
      <c r="C714" s="58" t="n"/>
      <c r="D714" s="66">
        <f>IF(C714="","",IFERROR(INDEX('Produtos'!$B$5:$B$204,MATCH(C714,'Produtos'!$A$5:$A$204,0)),"Código não cadastrado"))</f>
        <v/>
      </c>
      <c r="E714" s="58" t="n"/>
      <c r="F714" s="61" t="n"/>
      <c r="G714" s="59" t="n"/>
      <c r="H714" s="59" t="n"/>
      <c r="I714" s="67">
        <f>IF(OR(A714="",C714=""),"",IFERROR(INDEX('Produtos'!$F$5:$F$204,MATCH(C714,'Produtos'!$A$5:$A$204,0))+SUMIFS($F$5:$F$1004,$C$5:$C$1004,C714,$E$5:$E$1004,"Entrada",$A$5:$A$1004,"&lt;="&amp;A714)-SUMIFS($F$5:$F$1004,$C$5:$C$1004,C714,$E$5:$E$1004,"Saída",$A$5:$A$1004,"&lt;="&amp;A714),""))</f>
        <v/>
      </c>
      <c r="J714" s="68">
        <f>IF(A714="","",A714+ROW()/100000)</f>
        <v/>
      </c>
    </row>
    <row r="715">
      <c r="A715" s="65" t="n"/>
      <c r="B715" s="58" t="n"/>
      <c r="C715" s="58" t="n"/>
      <c r="D715" s="66">
        <f>IF(C715="","",IFERROR(INDEX('Produtos'!$B$5:$B$204,MATCH(C715,'Produtos'!$A$5:$A$204,0)),"Código não cadastrado"))</f>
        <v/>
      </c>
      <c r="E715" s="58" t="n"/>
      <c r="F715" s="61" t="n"/>
      <c r="G715" s="59" t="n"/>
      <c r="H715" s="59" t="n"/>
      <c r="I715" s="67">
        <f>IF(OR(A715="",C715=""),"",IFERROR(INDEX('Produtos'!$F$5:$F$204,MATCH(C715,'Produtos'!$A$5:$A$204,0))+SUMIFS($F$5:$F$1004,$C$5:$C$1004,C715,$E$5:$E$1004,"Entrada",$A$5:$A$1004,"&lt;="&amp;A715)-SUMIFS($F$5:$F$1004,$C$5:$C$1004,C715,$E$5:$E$1004,"Saída",$A$5:$A$1004,"&lt;="&amp;A715),""))</f>
        <v/>
      </c>
      <c r="J715" s="68">
        <f>IF(A715="","",A715+ROW()/100000)</f>
        <v/>
      </c>
    </row>
    <row r="716">
      <c r="A716" s="65" t="n"/>
      <c r="B716" s="58" t="n"/>
      <c r="C716" s="58" t="n"/>
      <c r="D716" s="66">
        <f>IF(C716="","",IFERROR(INDEX('Produtos'!$B$5:$B$204,MATCH(C716,'Produtos'!$A$5:$A$204,0)),"Código não cadastrado"))</f>
        <v/>
      </c>
      <c r="E716" s="58" t="n"/>
      <c r="F716" s="61" t="n"/>
      <c r="G716" s="59" t="n"/>
      <c r="H716" s="59" t="n"/>
      <c r="I716" s="67">
        <f>IF(OR(A716="",C716=""),"",IFERROR(INDEX('Produtos'!$F$5:$F$204,MATCH(C716,'Produtos'!$A$5:$A$204,0))+SUMIFS($F$5:$F$1004,$C$5:$C$1004,C716,$E$5:$E$1004,"Entrada",$A$5:$A$1004,"&lt;="&amp;A716)-SUMIFS($F$5:$F$1004,$C$5:$C$1004,C716,$E$5:$E$1004,"Saída",$A$5:$A$1004,"&lt;="&amp;A716),""))</f>
        <v/>
      </c>
      <c r="J716" s="68">
        <f>IF(A716="","",A716+ROW()/100000)</f>
        <v/>
      </c>
    </row>
    <row r="717">
      <c r="A717" s="65" t="n"/>
      <c r="B717" s="58" t="n"/>
      <c r="C717" s="58" t="n"/>
      <c r="D717" s="66">
        <f>IF(C717="","",IFERROR(INDEX('Produtos'!$B$5:$B$204,MATCH(C717,'Produtos'!$A$5:$A$204,0)),"Código não cadastrado"))</f>
        <v/>
      </c>
      <c r="E717" s="58" t="n"/>
      <c r="F717" s="61" t="n"/>
      <c r="G717" s="59" t="n"/>
      <c r="H717" s="59" t="n"/>
      <c r="I717" s="67">
        <f>IF(OR(A717="",C717=""),"",IFERROR(INDEX('Produtos'!$F$5:$F$204,MATCH(C717,'Produtos'!$A$5:$A$204,0))+SUMIFS($F$5:$F$1004,$C$5:$C$1004,C717,$E$5:$E$1004,"Entrada",$A$5:$A$1004,"&lt;="&amp;A717)-SUMIFS($F$5:$F$1004,$C$5:$C$1004,C717,$E$5:$E$1004,"Saída",$A$5:$A$1004,"&lt;="&amp;A717),""))</f>
        <v/>
      </c>
      <c r="J717" s="68">
        <f>IF(A717="","",A717+ROW()/100000)</f>
        <v/>
      </c>
    </row>
    <row r="718">
      <c r="A718" s="65" t="n"/>
      <c r="B718" s="58" t="n"/>
      <c r="C718" s="58" t="n"/>
      <c r="D718" s="66">
        <f>IF(C718="","",IFERROR(INDEX('Produtos'!$B$5:$B$204,MATCH(C718,'Produtos'!$A$5:$A$204,0)),"Código não cadastrado"))</f>
        <v/>
      </c>
      <c r="E718" s="58" t="n"/>
      <c r="F718" s="61" t="n"/>
      <c r="G718" s="59" t="n"/>
      <c r="H718" s="59" t="n"/>
      <c r="I718" s="67">
        <f>IF(OR(A718="",C718=""),"",IFERROR(INDEX('Produtos'!$F$5:$F$204,MATCH(C718,'Produtos'!$A$5:$A$204,0))+SUMIFS($F$5:$F$1004,$C$5:$C$1004,C718,$E$5:$E$1004,"Entrada",$A$5:$A$1004,"&lt;="&amp;A718)-SUMIFS($F$5:$F$1004,$C$5:$C$1004,C718,$E$5:$E$1004,"Saída",$A$5:$A$1004,"&lt;="&amp;A718),""))</f>
        <v/>
      </c>
      <c r="J718" s="68">
        <f>IF(A718="","",A718+ROW()/100000)</f>
        <v/>
      </c>
    </row>
    <row r="719">
      <c r="A719" s="65" t="n"/>
      <c r="B719" s="58" t="n"/>
      <c r="C719" s="58" t="n"/>
      <c r="D719" s="66">
        <f>IF(C719="","",IFERROR(INDEX('Produtos'!$B$5:$B$204,MATCH(C719,'Produtos'!$A$5:$A$204,0)),"Código não cadastrado"))</f>
        <v/>
      </c>
      <c r="E719" s="58" t="n"/>
      <c r="F719" s="61" t="n"/>
      <c r="G719" s="59" t="n"/>
      <c r="H719" s="59" t="n"/>
      <c r="I719" s="67">
        <f>IF(OR(A719="",C719=""),"",IFERROR(INDEX('Produtos'!$F$5:$F$204,MATCH(C719,'Produtos'!$A$5:$A$204,0))+SUMIFS($F$5:$F$1004,$C$5:$C$1004,C719,$E$5:$E$1004,"Entrada",$A$5:$A$1004,"&lt;="&amp;A719)-SUMIFS($F$5:$F$1004,$C$5:$C$1004,C719,$E$5:$E$1004,"Saída",$A$5:$A$1004,"&lt;="&amp;A719),""))</f>
        <v/>
      </c>
      <c r="J719" s="68">
        <f>IF(A719="","",A719+ROW()/100000)</f>
        <v/>
      </c>
    </row>
    <row r="720">
      <c r="A720" s="65" t="n"/>
      <c r="B720" s="58" t="n"/>
      <c r="C720" s="58" t="n"/>
      <c r="D720" s="66">
        <f>IF(C720="","",IFERROR(INDEX('Produtos'!$B$5:$B$204,MATCH(C720,'Produtos'!$A$5:$A$204,0)),"Código não cadastrado"))</f>
        <v/>
      </c>
      <c r="E720" s="58" t="n"/>
      <c r="F720" s="61" t="n"/>
      <c r="G720" s="59" t="n"/>
      <c r="H720" s="59" t="n"/>
      <c r="I720" s="67">
        <f>IF(OR(A720="",C720=""),"",IFERROR(INDEX('Produtos'!$F$5:$F$204,MATCH(C720,'Produtos'!$A$5:$A$204,0))+SUMIFS($F$5:$F$1004,$C$5:$C$1004,C720,$E$5:$E$1004,"Entrada",$A$5:$A$1004,"&lt;="&amp;A720)-SUMIFS($F$5:$F$1004,$C$5:$C$1004,C720,$E$5:$E$1004,"Saída",$A$5:$A$1004,"&lt;="&amp;A720),""))</f>
        <v/>
      </c>
      <c r="J720" s="68">
        <f>IF(A720="","",A720+ROW()/100000)</f>
        <v/>
      </c>
    </row>
    <row r="721">
      <c r="A721" s="65" t="n"/>
      <c r="B721" s="58" t="n"/>
      <c r="C721" s="58" t="n"/>
      <c r="D721" s="66">
        <f>IF(C721="","",IFERROR(INDEX('Produtos'!$B$5:$B$204,MATCH(C721,'Produtos'!$A$5:$A$204,0)),"Código não cadastrado"))</f>
        <v/>
      </c>
      <c r="E721" s="58" t="n"/>
      <c r="F721" s="61" t="n"/>
      <c r="G721" s="59" t="n"/>
      <c r="H721" s="59" t="n"/>
      <c r="I721" s="67">
        <f>IF(OR(A721="",C721=""),"",IFERROR(INDEX('Produtos'!$F$5:$F$204,MATCH(C721,'Produtos'!$A$5:$A$204,0))+SUMIFS($F$5:$F$1004,$C$5:$C$1004,C721,$E$5:$E$1004,"Entrada",$A$5:$A$1004,"&lt;="&amp;A721)-SUMIFS($F$5:$F$1004,$C$5:$C$1004,C721,$E$5:$E$1004,"Saída",$A$5:$A$1004,"&lt;="&amp;A721),""))</f>
        <v/>
      </c>
      <c r="J721" s="68">
        <f>IF(A721="","",A721+ROW()/100000)</f>
        <v/>
      </c>
    </row>
    <row r="722">
      <c r="A722" s="65" t="n"/>
      <c r="B722" s="58" t="n"/>
      <c r="C722" s="58" t="n"/>
      <c r="D722" s="66">
        <f>IF(C722="","",IFERROR(INDEX('Produtos'!$B$5:$B$204,MATCH(C722,'Produtos'!$A$5:$A$204,0)),"Código não cadastrado"))</f>
        <v/>
      </c>
      <c r="E722" s="58" t="n"/>
      <c r="F722" s="61" t="n"/>
      <c r="G722" s="59" t="n"/>
      <c r="H722" s="59" t="n"/>
      <c r="I722" s="67">
        <f>IF(OR(A722="",C722=""),"",IFERROR(INDEX('Produtos'!$F$5:$F$204,MATCH(C722,'Produtos'!$A$5:$A$204,0))+SUMIFS($F$5:$F$1004,$C$5:$C$1004,C722,$E$5:$E$1004,"Entrada",$A$5:$A$1004,"&lt;="&amp;A722)-SUMIFS($F$5:$F$1004,$C$5:$C$1004,C722,$E$5:$E$1004,"Saída",$A$5:$A$1004,"&lt;="&amp;A722),""))</f>
        <v/>
      </c>
      <c r="J722" s="68">
        <f>IF(A722="","",A722+ROW()/100000)</f>
        <v/>
      </c>
    </row>
    <row r="723">
      <c r="A723" s="65" t="n"/>
      <c r="B723" s="58" t="n"/>
      <c r="C723" s="58" t="n"/>
      <c r="D723" s="66">
        <f>IF(C723="","",IFERROR(INDEX('Produtos'!$B$5:$B$204,MATCH(C723,'Produtos'!$A$5:$A$204,0)),"Código não cadastrado"))</f>
        <v/>
      </c>
      <c r="E723" s="58" t="n"/>
      <c r="F723" s="61" t="n"/>
      <c r="G723" s="59" t="n"/>
      <c r="H723" s="59" t="n"/>
      <c r="I723" s="67">
        <f>IF(OR(A723="",C723=""),"",IFERROR(INDEX('Produtos'!$F$5:$F$204,MATCH(C723,'Produtos'!$A$5:$A$204,0))+SUMIFS($F$5:$F$1004,$C$5:$C$1004,C723,$E$5:$E$1004,"Entrada",$A$5:$A$1004,"&lt;="&amp;A723)-SUMIFS($F$5:$F$1004,$C$5:$C$1004,C723,$E$5:$E$1004,"Saída",$A$5:$A$1004,"&lt;="&amp;A723),""))</f>
        <v/>
      </c>
      <c r="J723" s="68">
        <f>IF(A723="","",A723+ROW()/100000)</f>
        <v/>
      </c>
    </row>
    <row r="724">
      <c r="A724" s="65" t="n"/>
      <c r="B724" s="58" t="n"/>
      <c r="C724" s="58" t="n"/>
      <c r="D724" s="66">
        <f>IF(C724="","",IFERROR(INDEX('Produtos'!$B$5:$B$204,MATCH(C724,'Produtos'!$A$5:$A$204,0)),"Código não cadastrado"))</f>
        <v/>
      </c>
      <c r="E724" s="58" t="n"/>
      <c r="F724" s="61" t="n"/>
      <c r="G724" s="59" t="n"/>
      <c r="H724" s="59" t="n"/>
      <c r="I724" s="67">
        <f>IF(OR(A724="",C724=""),"",IFERROR(INDEX('Produtos'!$F$5:$F$204,MATCH(C724,'Produtos'!$A$5:$A$204,0))+SUMIFS($F$5:$F$1004,$C$5:$C$1004,C724,$E$5:$E$1004,"Entrada",$A$5:$A$1004,"&lt;="&amp;A724)-SUMIFS($F$5:$F$1004,$C$5:$C$1004,C724,$E$5:$E$1004,"Saída",$A$5:$A$1004,"&lt;="&amp;A724),""))</f>
        <v/>
      </c>
      <c r="J724" s="68">
        <f>IF(A724="","",A724+ROW()/100000)</f>
        <v/>
      </c>
    </row>
    <row r="725">
      <c r="A725" s="65" t="n"/>
      <c r="B725" s="58" t="n"/>
      <c r="C725" s="58" t="n"/>
      <c r="D725" s="66">
        <f>IF(C725="","",IFERROR(INDEX('Produtos'!$B$5:$B$204,MATCH(C725,'Produtos'!$A$5:$A$204,0)),"Código não cadastrado"))</f>
        <v/>
      </c>
      <c r="E725" s="58" t="n"/>
      <c r="F725" s="61" t="n"/>
      <c r="G725" s="59" t="n"/>
      <c r="H725" s="59" t="n"/>
      <c r="I725" s="67">
        <f>IF(OR(A725="",C725=""),"",IFERROR(INDEX('Produtos'!$F$5:$F$204,MATCH(C725,'Produtos'!$A$5:$A$204,0))+SUMIFS($F$5:$F$1004,$C$5:$C$1004,C725,$E$5:$E$1004,"Entrada",$A$5:$A$1004,"&lt;="&amp;A725)-SUMIFS($F$5:$F$1004,$C$5:$C$1004,C725,$E$5:$E$1004,"Saída",$A$5:$A$1004,"&lt;="&amp;A725),""))</f>
        <v/>
      </c>
      <c r="J725" s="68">
        <f>IF(A725="","",A725+ROW()/100000)</f>
        <v/>
      </c>
    </row>
    <row r="726">
      <c r="A726" s="65" t="n"/>
      <c r="B726" s="58" t="n"/>
      <c r="C726" s="58" t="n"/>
      <c r="D726" s="66">
        <f>IF(C726="","",IFERROR(INDEX('Produtos'!$B$5:$B$204,MATCH(C726,'Produtos'!$A$5:$A$204,0)),"Código não cadastrado"))</f>
        <v/>
      </c>
      <c r="E726" s="58" t="n"/>
      <c r="F726" s="61" t="n"/>
      <c r="G726" s="59" t="n"/>
      <c r="H726" s="59" t="n"/>
      <c r="I726" s="67">
        <f>IF(OR(A726="",C726=""),"",IFERROR(INDEX('Produtos'!$F$5:$F$204,MATCH(C726,'Produtos'!$A$5:$A$204,0))+SUMIFS($F$5:$F$1004,$C$5:$C$1004,C726,$E$5:$E$1004,"Entrada",$A$5:$A$1004,"&lt;="&amp;A726)-SUMIFS($F$5:$F$1004,$C$5:$C$1004,C726,$E$5:$E$1004,"Saída",$A$5:$A$1004,"&lt;="&amp;A726),""))</f>
        <v/>
      </c>
      <c r="J726" s="68">
        <f>IF(A726="","",A726+ROW()/100000)</f>
        <v/>
      </c>
    </row>
    <row r="727">
      <c r="A727" s="65" t="n"/>
      <c r="B727" s="58" t="n"/>
      <c r="C727" s="58" t="n"/>
      <c r="D727" s="66">
        <f>IF(C727="","",IFERROR(INDEX('Produtos'!$B$5:$B$204,MATCH(C727,'Produtos'!$A$5:$A$204,0)),"Código não cadastrado"))</f>
        <v/>
      </c>
      <c r="E727" s="58" t="n"/>
      <c r="F727" s="61" t="n"/>
      <c r="G727" s="59" t="n"/>
      <c r="H727" s="59" t="n"/>
      <c r="I727" s="67">
        <f>IF(OR(A727="",C727=""),"",IFERROR(INDEX('Produtos'!$F$5:$F$204,MATCH(C727,'Produtos'!$A$5:$A$204,0))+SUMIFS($F$5:$F$1004,$C$5:$C$1004,C727,$E$5:$E$1004,"Entrada",$A$5:$A$1004,"&lt;="&amp;A727)-SUMIFS($F$5:$F$1004,$C$5:$C$1004,C727,$E$5:$E$1004,"Saída",$A$5:$A$1004,"&lt;="&amp;A727),""))</f>
        <v/>
      </c>
      <c r="J727" s="68">
        <f>IF(A727="","",A727+ROW()/100000)</f>
        <v/>
      </c>
    </row>
    <row r="728">
      <c r="A728" s="65" t="n"/>
      <c r="B728" s="58" t="n"/>
      <c r="C728" s="58" t="n"/>
      <c r="D728" s="66">
        <f>IF(C728="","",IFERROR(INDEX('Produtos'!$B$5:$B$204,MATCH(C728,'Produtos'!$A$5:$A$204,0)),"Código não cadastrado"))</f>
        <v/>
      </c>
      <c r="E728" s="58" t="n"/>
      <c r="F728" s="61" t="n"/>
      <c r="G728" s="59" t="n"/>
      <c r="H728" s="59" t="n"/>
      <c r="I728" s="67">
        <f>IF(OR(A728="",C728=""),"",IFERROR(INDEX('Produtos'!$F$5:$F$204,MATCH(C728,'Produtos'!$A$5:$A$204,0))+SUMIFS($F$5:$F$1004,$C$5:$C$1004,C728,$E$5:$E$1004,"Entrada",$A$5:$A$1004,"&lt;="&amp;A728)-SUMIFS($F$5:$F$1004,$C$5:$C$1004,C728,$E$5:$E$1004,"Saída",$A$5:$A$1004,"&lt;="&amp;A728),""))</f>
        <v/>
      </c>
      <c r="J728" s="68">
        <f>IF(A728="","",A728+ROW()/100000)</f>
        <v/>
      </c>
    </row>
    <row r="729">
      <c r="A729" s="65" t="n"/>
      <c r="B729" s="58" t="n"/>
      <c r="C729" s="58" t="n"/>
      <c r="D729" s="66">
        <f>IF(C729="","",IFERROR(INDEX('Produtos'!$B$5:$B$204,MATCH(C729,'Produtos'!$A$5:$A$204,0)),"Código não cadastrado"))</f>
        <v/>
      </c>
      <c r="E729" s="58" t="n"/>
      <c r="F729" s="61" t="n"/>
      <c r="G729" s="59" t="n"/>
      <c r="H729" s="59" t="n"/>
      <c r="I729" s="67">
        <f>IF(OR(A729="",C729=""),"",IFERROR(INDEX('Produtos'!$F$5:$F$204,MATCH(C729,'Produtos'!$A$5:$A$204,0))+SUMIFS($F$5:$F$1004,$C$5:$C$1004,C729,$E$5:$E$1004,"Entrada",$A$5:$A$1004,"&lt;="&amp;A729)-SUMIFS($F$5:$F$1004,$C$5:$C$1004,C729,$E$5:$E$1004,"Saída",$A$5:$A$1004,"&lt;="&amp;A729),""))</f>
        <v/>
      </c>
      <c r="J729" s="68">
        <f>IF(A729="","",A729+ROW()/100000)</f>
        <v/>
      </c>
    </row>
    <row r="730">
      <c r="A730" s="65" t="n"/>
      <c r="B730" s="58" t="n"/>
      <c r="C730" s="58" t="n"/>
      <c r="D730" s="66">
        <f>IF(C730="","",IFERROR(INDEX('Produtos'!$B$5:$B$204,MATCH(C730,'Produtos'!$A$5:$A$204,0)),"Código não cadastrado"))</f>
        <v/>
      </c>
      <c r="E730" s="58" t="n"/>
      <c r="F730" s="61" t="n"/>
      <c r="G730" s="59" t="n"/>
      <c r="H730" s="59" t="n"/>
      <c r="I730" s="67">
        <f>IF(OR(A730="",C730=""),"",IFERROR(INDEX('Produtos'!$F$5:$F$204,MATCH(C730,'Produtos'!$A$5:$A$204,0))+SUMIFS($F$5:$F$1004,$C$5:$C$1004,C730,$E$5:$E$1004,"Entrada",$A$5:$A$1004,"&lt;="&amp;A730)-SUMIFS($F$5:$F$1004,$C$5:$C$1004,C730,$E$5:$E$1004,"Saída",$A$5:$A$1004,"&lt;="&amp;A730),""))</f>
        <v/>
      </c>
      <c r="J730" s="68">
        <f>IF(A730="","",A730+ROW()/100000)</f>
        <v/>
      </c>
    </row>
    <row r="731">
      <c r="A731" s="65" t="n"/>
      <c r="B731" s="58" t="n"/>
      <c r="C731" s="58" t="n"/>
      <c r="D731" s="66">
        <f>IF(C731="","",IFERROR(INDEX('Produtos'!$B$5:$B$204,MATCH(C731,'Produtos'!$A$5:$A$204,0)),"Código não cadastrado"))</f>
        <v/>
      </c>
      <c r="E731" s="58" t="n"/>
      <c r="F731" s="61" t="n"/>
      <c r="G731" s="59" t="n"/>
      <c r="H731" s="59" t="n"/>
      <c r="I731" s="67">
        <f>IF(OR(A731="",C731=""),"",IFERROR(INDEX('Produtos'!$F$5:$F$204,MATCH(C731,'Produtos'!$A$5:$A$204,0))+SUMIFS($F$5:$F$1004,$C$5:$C$1004,C731,$E$5:$E$1004,"Entrada",$A$5:$A$1004,"&lt;="&amp;A731)-SUMIFS($F$5:$F$1004,$C$5:$C$1004,C731,$E$5:$E$1004,"Saída",$A$5:$A$1004,"&lt;="&amp;A731),""))</f>
        <v/>
      </c>
      <c r="J731" s="68">
        <f>IF(A731="","",A731+ROW()/100000)</f>
        <v/>
      </c>
    </row>
    <row r="732">
      <c r="A732" s="65" t="n"/>
      <c r="B732" s="58" t="n"/>
      <c r="C732" s="58" t="n"/>
      <c r="D732" s="66">
        <f>IF(C732="","",IFERROR(INDEX('Produtos'!$B$5:$B$204,MATCH(C732,'Produtos'!$A$5:$A$204,0)),"Código não cadastrado"))</f>
        <v/>
      </c>
      <c r="E732" s="58" t="n"/>
      <c r="F732" s="61" t="n"/>
      <c r="G732" s="59" t="n"/>
      <c r="H732" s="59" t="n"/>
      <c r="I732" s="67">
        <f>IF(OR(A732="",C732=""),"",IFERROR(INDEX('Produtos'!$F$5:$F$204,MATCH(C732,'Produtos'!$A$5:$A$204,0))+SUMIFS($F$5:$F$1004,$C$5:$C$1004,C732,$E$5:$E$1004,"Entrada",$A$5:$A$1004,"&lt;="&amp;A732)-SUMIFS($F$5:$F$1004,$C$5:$C$1004,C732,$E$5:$E$1004,"Saída",$A$5:$A$1004,"&lt;="&amp;A732),""))</f>
        <v/>
      </c>
      <c r="J732" s="68">
        <f>IF(A732="","",A732+ROW()/100000)</f>
        <v/>
      </c>
    </row>
    <row r="733">
      <c r="A733" s="65" t="n"/>
      <c r="B733" s="58" t="n"/>
      <c r="C733" s="58" t="n"/>
      <c r="D733" s="66">
        <f>IF(C733="","",IFERROR(INDEX('Produtos'!$B$5:$B$204,MATCH(C733,'Produtos'!$A$5:$A$204,0)),"Código não cadastrado"))</f>
        <v/>
      </c>
      <c r="E733" s="58" t="n"/>
      <c r="F733" s="61" t="n"/>
      <c r="G733" s="59" t="n"/>
      <c r="H733" s="59" t="n"/>
      <c r="I733" s="67">
        <f>IF(OR(A733="",C733=""),"",IFERROR(INDEX('Produtos'!$F$5:$F$204,MATCH(C733,'Produtos'!$A$5:$A$204,0))+SUMIFS($F$5:$F$1004,$C$5:$C$1004,C733,$E$5:$E$1004,"Entrada",$A$5:$A$1004,"&lt;="&amp;A733)-SUMIFS($F$5:$F$1004,$C$5:$C$1004,C733,$E$5:$E$1004,"Saída",$A$5:$A$1004,"&lt;="&amp;A733),""))</f>
        <v/>
      </c>
      <c r="J733" s="68">
        <f>IF(A733="","",A733+ROW()/100000)</f>
        <v/>
      </c>
    </row>
    <row r="734">
      <c r="A734" s="65" t="n"/>
      <c r="B734" s="58" t="n"/>
      <c r="C734" s="58" t="n"/>
      <c r="D734" s="66">
        <f>IF(C734="","",IFERROR(INDEX('Produtos'!$B$5:$B$204,MATCH(C734,'Produtos'!$A$5:$A$204,0)),"Código não cadastrado"))</f>
        <v/>
      </c>
      <c r="E734" s="58" t="n"/>
      <c r="F734" s="61" t="n"/>
      <c r="G734" s="59" t="n"/>
      <c r="H734" s="59" t="n"/>
      <c r="I734" s="67">
        <f>IF(OR(A734="",C734=""),"",IFERROR(INDEX('Produtos'!$F$5:$F$204,MATCH(C734,'Produtos'!$A$5:$A$204,0))+SUMIFS($F$5:$F$1004,$C$5:$C$1004,C734,$E$5:$E$1004,"Entrada",$A$5:$A$1004,"&lt;="&amp;A734)-SUMIFS($F$5:$F$1004,$C$5:$C$1004,C734,$E$5:$E$1004,"Saída",$A$5:$A$1004,"&lt;="&amp;A734),""))</f>
        <v/>
      </c>
      <c r="J734" s="68">
        <f>IF(A734="","",A734+ROW()/100000)</f>
        <v/>
      </c>
    </row>
    <row r="735">
      <c r="A735" s="65" t="n"/>
      <c r="B735" s="58" t="n"/>
      <c r="C735" s="58" t="n"/>
      <c r="D735" s="66">
        <f>IF(C735="","",IFERROR(INDEX('Produtos'!$B$5:$B$204,MATCH(C735,'Produtos'!$A$5:$A$204,0)),"Código não cadastrado"))</f>
        <v/>
      </c>
      <c r="E735" s="58" t="n"/>
      <c r="F735" s="61" t="n"/>
      <c r="G735" s="59" t="n"/>
      <c r="H735" s="59" t="n"/>
      <c r="I735" s="67">
        <f>IF(OR(A735="",C735=""),"",IFERROR(INDEX('Produtos'!$F$5:$F$204,MATCH(C735,'Produtos'!$A$5:$A$204,0))+SUMIFS($F$5:$F$1004,$C$5:$C$1004,C735,$E$5:$E$1004,"Entrada",$A$5:$A$1004,"&lt;="&amp;A735)-SUMIFS($F$5:$F$1004,$C$5:$C$1004,C735,$E$5:$E$1004,"Saída",$A$5:$A$1004,"&lt;="&amp;A735),""))</f>
        <v/>
      </c>
      <c r="J735" s="68">
        <f>IF(A735="","",A735+ROW()/100000)</f>
        <v/>
      </c>
    </row>
    <row r="736">
      <c r="A736" s="65" t="n"/>
      <c r="B736" s="58" t="n"/>
      <c r="C736" s="58" t="n"/>
      <c r="D736" s="66">
        <f>IF(C736="","",IFERROR(INDEX('Produtos'!$B$5:$B$204,MATCH(C736,'Produtos'!$A$5:$A$204,0)),"Código não cadastrado"))</f>
        <v/>
      </c>
      <c r="E736" s="58" t="n"/>
      <c r="F736" s="61" t="n"/>
      <c r="G736" s="59" t="n"/>
      <c r="H736" s="59" t="n"/>
      <c r="I736" s="67">
        <f>IF(OR(A736="",C736=""),"",IFERROR(INDEX('Produtos'!$F$5:$F$204,MATCH(C736,'Produtos'!$A$5:$A$204,0))+SUMIFS($F$5:$F$1004,$C$5:$C$1004,C736,$E$5:$E$1004,"Entrada",$A$5:$A$1004,"&lt;="&amp;A736)-SUMIFS($F$5:$F$1004,$C$5:$C$1004,C736,$E$5:$E$1004,"Saída",$A$5:$A$1004,"&lt;="&amp;A736),""))</f>
        <v/>
      </c>
      <c r="J736" s="68">
        <f>IF(A736="","",A736+ROW()/100000)</f>
        <v/>
      </c>
    </row>
    <row r="737">
      <c r="A737" s="65" t="n"/>
      <c r="B737" s="58" t="n"/>
      <c r="C737" s="58" t="n"/>
      <c r="D737" s="66">
        <f>IF(C737="","",IFERROR(INDEX('Produtos'!$B$5:$B$204,MATCH(C737,'Produtos'!$A$5:$A$204,0)),"Código não cadastrado"))</f>
        <v/>
      </c>
      <c r="E737" s="58" t="n"/>
      <c r="F737" s="61" t="n"/>
      <c r="G737" s="59" t="n"/>
      <c r="H737" s="59" t="n"/>
      <c r="I737" s="67">
        <f>IF(OR(A737="",C737=""),"",IFERROR(INDEX('Produtos'!$F$5:$F$204,MATCH(C737,'Produtos'!$A$5:$A$204,0))+SUMIFS($F$5:$F$1004,$C$5:$C$1004,C737,$E$5:$E$1004,"Entrada",$A$5:$A$1004,"&lt;="&amp;A737)-SUMIFS($F$5:$F$1004,$C$5:$C$1004,C737,$E$5:$E$1004,"Saída",$A$5:$A$1004,"&lt;="&amp;A737),""))</f>
        <v/>
      </c>
      <c r="J737" s="68">
        <f>IF(A737="","",A737+ROW()/100000)</f>
        <v/>
      </c>
    </row>
    <row r="738">
      <c r="A738" s="65" t="n"/>
      <c r="B738" s="58" t="n"/>
      <c r="C738" s="58" t="n"/>
      <c r="D738" s="66">
        <f>IF(C738="","",IFERROR(INDEX('Produtos'!$B$5:$B$204,MATCH(C738,'Produtos'!$A$5:$A$204,0)),"Código não cadastrado"))</f>
        <v/>
      </c>
      <c r="E738" s="58" t="n"/>
      <c r="F738" s="61" t="n"/>
      <c r="G738" s="59" t="n"/>
      <c r="H738" s="59" t="n"/>
      <c r="I738" s="67">
        <f>IF(OR(A738="",C738=""),"",IFERROR(INDEX('Produtos'!$F$5:$F$204,MATCH(C738,'Produtos'!$A$5:$A$204,0))+SUMIFS($F$5:$F$1004,$C$5:$C$1004,C738,$E$5:$E$1004,"Entrada",$A$5:$A$1004,"&lt;="&amp;A738)-SUMIFS($F$5:$F$1004,$C$5:$C$1004,C738,$E$5:$E$1004,"Saída",$A$5:$A$1004,"&lt;="&amp;A738),""))</f>
        <v/>
      </c>
      <c r="J738" s="68">
        <f>IF(A738="","",A738+ROW()/100000)</f>
        <v/>
      </c>
    </row>
    <row r="739">
      <c r="A739" s="65" t="n"/>
      <c r="B739" s="58" t="n"/>
      <c r="C739" s="58" t="n"/>
      <c r="D739" s="66">
        <f>IF(C739="","",IFERROR(INDEX('Produtos'!$B$5:$B$204,MATCH(C739,'Produtos'!$A$5:$A$204,0)),"Código não cadastrado"))</f>
        <v/>
      </c>
      <c r="E739" s="58" t="n"/>
      <c r="F739" s="61" t="n"/>
      <c r="G739" s="59" t="n"/>
      <c r="H739" s="59" t="n"/>
      <c r="I739" s="67">
        <f>IF(OR(A739="",C739=""),"",IFERROR(INDEX('Produtos'!$F$5:$F$204,MATCH(C739,'Produtos'!$A$5:$A$204,0))+SUMIFS($F$5:$F$1004,$C$5:$C$1004,C739,$E$5:$E$1004,"Entrada",$A$5:$A$1004,"&lt;="&amp;A739)-SUMIFS($F$5:$F$1004,$C$5:$C$1004,C739,$E$5:$E$1004,"Saída",$A$5:$A$1004,"&lt;="&amp;A739),""))</f>
        <v/>
      </c>
      <c r="J739" s="68">
        <f>IF(A739="","",A739+ROW()/100000)</f>
        <v/>
      </c>
    </row>
    <row r="740">
      <c r="A740" s="65" t="n"/>
      <c r="B740" s="58" t="n"/>
      <c r="C740" s="58" t="n"/>
      <c r="D740" s="66">
        <f>IF(C740="","",IFERROR(INDEX('Produtos'!$B$5:$B$204,MATCH(C740,'Produtos'!$A$5:$A$204,0)),"Código não cadastrado"))</f>
        <v/>
      </c>
      <c r="E740" s="58" t="n"/>
      <c r="F740" s="61" t="n"/>
      <c r="G740" s="59" t="n"/>
      <c r="H740" s="59" t="n"/>
      <c r="I740" s="67">
        <f>IF(OR(A740="",C740=""),"",IFERROR(INDEX('Produtos'!$F$5:$F$204,MATCH(C740,'Produtos'!$A$5:$A$204,0))+SUMIFS($F$5:$F$1004,$C$5:$C$1004,C740,$E$5:$E$1004,"Entrada",$A$5:$A$1004,"&lt;="&amp;A740)-SUMIFS($F$5:$F$1004,$C$5:$C$1004,C740,$E$5:$E$1004,"Saída",$A$5:$A$1004,"&lt;="&amp;A740),""))</f>
        <v/>
      </c>
      <c r="J740" s="68">
        <f>IF(A740="","",A740+ROW()/100000)</f>
        <v/>
      </c>
    </row>
    <row r="741">
      <c r="A741" s="65" t="n"/>
      <c r="B741" s="58" t="n"/>
      <c r="C741" s="58" t="n"/>
      <c r="D741" s="66">
        <f>IF(C741="","",IFERROR(INDEX('Produtos'!$B$5:$B$204,MATCH(C741,'Produtos'!$A$5:$A$204,0)),"Código não cadastrado"))</f>
        <v/>
      </c>
      <c r="E741" s="58" t="n"/>
      <c r="F741" s="61" t="n"/>
      <c r="G741" s="59" t="n"/>
      <c r="H741" s="59" t="n"/>
      <c r="I741" s="67">
        <f>IF(OR(A741="",C741=""),"",IFERROR(INDEX('Produtos'!$F$5:$F$204,MATCH(C741,'Produtos'!$A$5:$A$204,0))+SUMIFS($F$5:$F$1004,$C$5:$C$1004,C741,$E$5:$E$1004,"Entrada",$A$5:$A$1004,"&lt;="&amp;A741)-SUMIFS($F$5:$F$1004,$C$5:$C$1004,C741,$E$5:$E$1004,"Saída",$A$5:$A$1004,"&lt;="&amp;A741),""))</f>
        <v/>
      </c>
      <c r="J741" s="68">
        <f>IF(A741="","",A741+ROW()/100000)</f>
        <v/>
      </c>
    </row>
    <row r="742">
      <c r="A742" s="65" t="n"/>
      <c r="B742" s="58" t="n"/>
      <c r="C742" s="58" t="n"/>
      <c r="D742" s="66">
        <f>IF(C742="","",IFERROR(INDEX('Produtos'!$B$5:$B$204,MATCH(C742,'Produtos'!$A$5:$A$204,0)),"Código não cadastrado"))</f>
        <v/>
      </c>
      <c r="E742" s="58" t="n"/>
      <c r="F742" s="61" t="n"/>
      <c r="G742" s="59" t="n"/>
      <c r="H742" s="59" t="n"/>
      <c r="I742" s="67">
        <f>IF(OR(A742="",C742=""),"",IFERROR(INDEX('Produtos'!$F$5:$F$204,MATCH(C742,'Produtos'!$A$5:$A$204,0))+SUMIFS($F$5:$F$1004,$C$5:$C$1004,C742,$E$5:$E$1004,"Entrada",$A$5:$A$1004,"&lt;="&amp;A742)-SUMIFS($F$5:$F$1004,$C$5:$C$1004,C742,$E$5:$E$1004,"Saída",$A$5:$A$1004,"&lt;="&amp;A742),""))</f>
        <v/>
      </c>
      <c r="J742" s="68">
        <f>IF(A742="","",A742+ROW()/100000)</f>
        <v/>
      </c>
    </row>
    <row r="743">
      <c r="A743" s="65" t="n"/>
      <c r="B743" s="58" t="n"/>
      <c r="C743" s="58" t="n"/>
      <c r="D743" s="66">
        <f>IF(C743="","",IFERROR(INDEX('Produtos'!$B$5:$B$204,MATCH(C743,'Produtos'!$A$5:$A$204,0)),"Código não cadastrado"))</f>
        <v/>
      </c>
      <c r="E743" s="58" t="n"/>
      <c r="F743" s="61" t="n"/>
      <c r="G743" s="59" t="n"/>
      <c r="H743" s="59" t="n"/>
      <c r="I743" s="67">
        <f>IF(OR(A743="",C743=""),"",IFERROR(INDEX('Produtos'!$F$5:$F$204,MATCH(C743,'Produtos'!$A$5:$A$204,0))+SUMIFS($F$5:$F$1004,$C$5:$C$1004,C743,$E$5:$E$1004,"Entrada",$A$5:$A$1004,"&lt;="&amp;A743)-SUMIFS($F$5:$F$1004,$C$5:$C$1004,C743,$E$5:$E$1004,"Saída",$A$5:$A$1004,"&lt;="&amp;A743),""))</f>
        <v/>
      </c>
      <c r="J743" s="68">
        <f>IF(A743="","",A743+ROW()/100000)</f>
        <v/>
      </c>
    </row>
    <row r="744">
      <c r="A744" s="65" t="n"/>
      <c r="B744" s="58" t="n"/>
      <c r="C744" s="58" t="n"/>
      <c r="D744" s="66">
        <f>IF(C744="","",IFERROR(INDEX('Produtos'!$B$5:$B$204,MATCH(C744,'Produtos'!$A$5:$A$204,0)),"Código não cadastrado"))</f>
        <v/>
      </c>
      <c r="E744" s="58" t="n"/>
      <c r="F744" s="61" t="n"/>
      <c r="G744" s="59" t="n"/>
      <c r="H744" s="59" t="n"/>
      <c r="I744" s="67">
        <f>IF(OR(A744="",C744=""),"",IFERROR(INDEX('Produtos'!$F$5:$F$204,MATCH(C744,'Produtos'!$A$5:$A$204,0))+SUMIFS($F$5:$F$1004,$C$5:$C$1004,C744,$E$5:$E$1004,"Entrada",$A$5:$A$1004,"&lt;="&amp;A744)-SUMIFS($F$5:$F$1004,$C$5:$C$1004,C744,$E$5:$E$1004,"Saída",$A$5:$A$1004,"&lt;="&amp;A744),""))</f>
        <v/>
      </c>
      <c r="J744" s="68">
        <f>IF(A744="","",A744+ROW()/100000)</f>
        <v/>
      </c>
    </row>
    <row r="745">
      <c r="A745" s="65" t="n"/>
      <c r="B745" s="58" t="n"/>
      <c r="C745" s="58" t="n"/>
      <c r="D745" s="66">
        <f>IF(C745="","",IFERROR(INDEX('Produtos'!$B$5:$B$204,MATCH(C745,'Produtos'!$A$5:$A$204,0)),"Código não cadastrado"))</f>
        <v/>
      </c>
      <c r="E745" s="58" t="n"/>
      <c r="F745" s="61" t="n"/>
      <c r="G745" s="59" t="n"/>
      <c r="H745" s="59" t="n"/>
      <c r="I745" s="67">
        <f>IF(OR(A745="",C745=""),"",IFERROR(INDEX('Produtos'!$F$5:$F$204,MATCH(C745,'Produtos'!$A$5:$A$204,0))+SUMIFS($F$5:$F$1004,$C$5:$C$1004,C745,$E$5:$E$1004,"Entrada",$A$5:$A$1004,"&lt;="&amp;A745)-SUMIFS($F$5:$F$1004,$C$5:$C$1004,C745,$E$5:$E$1004,"Saída",$A$5:$A$1004,"&lt;="&amp;A745),""))</f>
        <v/>
      </c>
      <c r="J745" s="68">
        <f>IF(A745="","",A745+ROW()/100000)</f>
        <v/>
      </c>
    </row>
    <row r="746">
      <c r="A746" s="65" t="n"/>
      <c r="B746" s="58" t="n"/>
      <c r="C746" s="58" t="n"/>
      <c r="D746" s="66">
        <f>IF(C746="","",IFERROR(INDEX('Produtos'!$B$5:$B$204,MATCH(C746,'Produtos'!$A$5:$A$204,0)),"Código não cadastrado"))</f>
        <v/>
      </c>
      <c r="E746" s="58" t="n"/>
      <c r="F746" s="61" t="n"/>
      <c r="G746" s="59" t="n"/>
      <c r="H746" s="59" t="n"/>
      <c r="I746" s="67">
        <f>IF(OR(A746="",C746=""),"",IFERROR(INDEX('Produtos'!$F$5:$F$204,MATCH(C746,'Produtos'!$A$5:$A$204,0))+SUMIFS($F$5:$F$1004,$C$5:$C$1004,C746,$E$5:$E$1004,"Entrada",$A$5:$A$1004,"&lt;="&amp;A746)-SUMIFS($F$5:$F$1004,$C$5:$C$1004,C746,$E$5:$E$1004,"Saída",$A$5:$A$1004,"&lt;="&amp;A746),""))</f>
        <v/>
      </c>
      <c r="J746" s="68">
        <f>IF(A746="","",A746+ROW()/100000)</f>
        <v/>
      </c>
    </row>
    <row r="747">
      <c r="A747" s="65" t="n"/>
      <c r="B747" s="58" t="n"/>
      <c r="C747" s="58" t="n"/>
      <c r="D747" s="66">
        <f>IF(C747="","",IFERROR(INDEX('Produtos'!$B$5:$B$204,MATCH(C747,'Produtos'!$A$5:$A$204,0)),"Código não cadastrado"))</f>
        <v/>
      </c>
      <c r="E747" s="58" t="n"/>
      <c r="F747" s="61" t="n"/>
      <c r="G747" s="59" t="n"/>
      <c r="H747" s="59" t="n"/>
      <c r="I747" s="67">
        <f>IF(OR(A747="",C747=""),"",IFERROR(INDEX('Produtos'!$F$5:$F$204,MATCH(C747,'Produtos'!$A$5:$A$204,0))+SUMIFS($F$5:$F$1004,$C$5:$C$1004,C747,$E$5:$E$1004,"Entrada",$A$5:$A$1004,"&lt;="&amp;A747)-SUMIFS($F$5:$F$1004,$C$5:$C$1004,C747,$E$5:$E$1004,"Saída",$A$5:$A$1004,"&lt;="&amp;A747),""))</f>
        <v/>
      </c>
      <c r="J747" s="68">
        <f>IF(A747="","",A747+ROW()/100000)</f>
        <v/>
      </c>
    </row>
    <row r="748">
      <c r="A748" s="65" t="n"/>
      <c r="B748" s="58" t="n"/>
      <c r="C748" s="58" t="n"/>
      <c r="D748" s="66">
        <f>IF(C748="","",IFERROR(INDEX('Produtos'!$B$5:$B$204,MATCH(C748,'Produtos'!$A$5:$A$204,0)),"Código não cadastrado"))</f>
        <v/>
      </c>
      <c r="E748" s="58" t="n"/>
      <c r="F748" s="61" t="n"/>
      <c r="G748" s="59" t="n"/>
      <c r="H748" s="59" t="n"/>
      <c r="I748" s="67">
        <f>IF(OR(A748="",C748=""),"",IFERROR(INDEX('Produtos'!$F$5:$F$204,MATCH(C748,'Produtos'!$A$5:$A$204,0))+SUMIFS($F$5:$F$1004,$C$5:$C$1004,C748,$E$5:$E$1004,"Entrada",$A$5:$A$1004,"&lt;="&amp;A748)-SUMIFS($F$5:$F$1004,$C$5:$C$1004,C748,$E$5:$E$1004,"Saída",$A$5:$A$1004,"&lt;="&amp;A748),""))</f>
        <v/>
      </c>
      <c r="J748" s="68">
        <f>IF(A748="","",A748+ROW()/100000)</f>
        <v/>
      </c>
    </row>
    <row r="749">
      <c r="A749" s="65" t="n"/>
      <c r="B749" s="58" t="n"/>
      <c r="C749" s="58" t="n"/>
      <c r="D749" s="66">
        <f>IF(C749="","",IFERROR(INDEX('Produtos'!$B$5:$B$204,MATCH(C749,'Produtos'!$A$5:$A$204,0)),"Código não cadastrado"))</f>
        <v/>
      </c>
      <c r="E749" s="58" t="n"/>
      <c r="F749" s="61" t="n"/>
      <c r="G749" s="59" t="n"/>
      <c r="H749" s="59" t="n"/>
      <c r="I749" s="67">
        <f>IF(OR(A749="",C749=""),"",IFERROR(INDEX('Produtos'!$F$5:$F$204,MATCH(C749,'Produtos'!$A$5:$A$204,0))+SUMIFS($F$5:$F$1004,$C$5:$C$1004,C749,$E$5:$E$1004,"Entrada",$A$5:$A$1004,"&lt;="&amp;A749)-SUMIFS($F$5:$F$1004,$C$5:$C$1004,C749,$E$5:$E$1004,"Saída",$A$5:$A$1004,"&lt;="&amp;A749),""))</f>
        <v/>
      </c>
      <c r="J749" s="68">
        <f>IF(A749="","",A749+ROW()/100000)</f>
        <v/>
      </c>
    </row>
    <row r="750">
      <c r="A750" s="65" t="n"/>
      <c r="B750" s="58" t="n"/>
      <c r="C750" s="58" t="n"/>
      <c r="D750" s="66">
        <f>IF(C750="","",IFERROR(INDEX('Produtos'!$B$5:$B$204,MATCH(C750,'Produtos'!$A$5:$A$204,0)),"Código não cadastrado"))</f>
        <v/>
      </c>
      <c r="E750" s="58" t="n"/>
      <c r="F750" s="61" t="n"/>
      <c r="G750" s="59" t="n"/>
      <c r="H750" s="59" t="n"/>
      <c r="I750" s="67">
        <f>IF(OR(A750="",C750=""),"",IFERROR(INDEX('Produtos'!$F$5:$F$204,MATCH(C750,'Produtos'!$A$5:$A$204,0))+SUMIFS($F$5:$F$1004,$C$5:$C$1004,C750,$E$5:$E$1004,"Entrada",$A$5:$A$1004,"&lt;="&amp;A750)-SUMIFS($F$5:$F$1004,$C$5:$C$1004,C750,$E$5:$E$1004,"Saída",$A$5:$A$1004,"&lt;="&amp;A750),""))</f>
        <v/>
      </c>
      <c r="J750" s="68">
        <f>IF(A750="","",A750+ROW()/100000)</f>
        <v/>
      </c>
    </row>
    <row r="751">
      <c r="A751" s="65" t="n"/>
      <c r="B751" s="58" t="n"/>
      <c r="C751" s="58" t="n"/>
      <c r="D751" s="66">
        <f>IF(C751="","",IFERROR(INDEX('Produtos'!$B$5:$B$204,MATCH(C751,'Produtos'!$A$5:$A$204,0)),"Código não cadastrado"))</f>
        <v/>
      </c>
      <c r="E751" s="58" t="n"/>
      <c r="F751" s="61" t="n"/>
      <c r="G751" s="59" t="n"/>
      <c r="H751" s="59" t="n"/>
      <c r="I751" s="67">
        <f>IF(OR(A751="",C751=""),"",IFERROR(INDEX('Produtos'!$F$5:$F$204,MATCH(C751,'Produtos'!$A$5:$A$204,0))+SUMIFS($F$5:$F$1004,$C$5:$C$1004,C751,$E$5:$E$1004,"Entrada",$A$5:$A$1004,"&lt;="&amp;A751)-SUMIFS($F$5:$F$1004,$C$5:$C$1004,C751,$E$5:$E$1004,"Saída",$A$5:$A$1004,"&lt;="&amp;A751),""))</f>
        <v/>
      </c>
      <c r="J751" s="68">
        <f>IF(A751="","",A751+ROW()/100000)</f>
        <v/>
      </c>
    </row>
    <row r="752">
      <c r="A752" s="65" t="n"/>
      <c r="B752" s="58" t="n"/>
      <c r="C752" s="58" t="n"/>
      <c r="D752" s="66">
        <f>IF(C752="","",IFERROR(INDEX('Produtos'!$B$5:$B$204,MATCH(C752,'Produtos'!$A$5:$A$204,0)),"Código não cadastrado"))</f>
        <v/>
      </c>
      <c r="E752" s="58" t="n"/>
      <c r="F752" s="61" t="n"/>
      <c r="G752" s="59" t="n"/>
      <c r="H752" s="59" t="n"/>
      <c r="I752" s="67">
        <f>IF(OR(A752="",C752=""),"",IFERROR(INDEX('Produtos'!$F$5:$F$204,MATCH(C752,'Produtos'!$A$5:$A$204,0))+SUMIFS($F$5:$F$1004,$C$5:$C$1004,C752,$E$5:$E$1004,"Entrada",$A$5:$A$1004,"&lt;="&amp;A752)-SUMIFS($F$5:$F$1004,$C$5:$C$1004,C752,$E$5:$E$1004,"Saída",$A$5:$A$1004,"&lt;="&amp;A752),""))</f>
        <v/>
      </c>
      <c r="J752" s="68">
        <f>IF(A752="","",A752+ROW()/100000)</f>
        <v/>
      </c>
    </row>
    <row r="753">
      <c r="A753" s="65" t="n"/>
      <c r="B753" s="58" t="n"/>
      <c r="C753" s="58" t="n"/>
      <c r="D753" s="66">
        <f>IF(C753="","",IFERROR(INDEX('Produtos'!$B$5:$B$204,MATCH(C753,'Produtos'!$A$5:$A$204,0)),"Código não cadastrado"))</f>
        <v/>
      </c>
      <c r="E753" s="58" t="n"/>
      <c r="F753" s="61" t="n"/>
      <c r="G753" s="59" t="n"/>
      <c r="H753" s="59" t="n"/>
      <c r="I753" s="67">
        <f>IF(OR(A753="",C753=""),"",IFERROR(INDEX('Produtos'!$F$5:$F$204,MATCH(C753,'Produtos'!$A$5:$A$204,0))+SUMIFS($F$5:$F$1004,$C$5:$C$1004,C753,$E$5:$E$1004,"Entrada",$A$5:$A$1004,"&lt;="&amp;A753)-SUMIFS($F$5:$F$1004,$C$5:$C$1004,C753,$E$5:$E$1004,"Saída",$A$5:$A$1004,"&lt;="&amp;A753),""))</f>
        <v/>
      </c>
      <c r="J753" s="68">
        <f>IF(A753="","",A753+ROW()/100000)</f>
        <v/>
      </c>
    </row>
    <row r="754">
      <c r="A754" s="65" t="n"/>
      <c r="B754" s="58" t="n"/>
      <c r="C754" s="58" t="n"/>
      <c r="D754" s="66">
        <f>IF(C754="","",IFERROR(INDEX('Produtos'!$B$5:$B$204,MATCH(C754,'Produtos'!$A$5:$A$204,0)),"Código não cadastrado"))</f>
        <v/>
      </c>
      <c r="E754" s="58" t="n"/>
      <c r="F754" s="61" t="n"/>
      <c r="G754" s="59" t="n"/>
      <c r="H754" s="59" t="n"/>
      <c r="I754" s="67">
        <f>IF(OR(A754="",C754=""),"",IFERROR(INDEX('Produtos'!$F$5:$F$204,MATCH(C754,'Produtos'!$A$5:$A$204,0))+SUMIFS($F$5:$F$1004,$C$5:$C$1004,C754,$E$5:$E$1004,"Entrada",$A$5:$A$1004,"&lt;="&amp;A754)-SUMIFS($F$5:$F$1004,$C$5:$C$1004,C754,$E$5:$E$1004,"Saída",$A$5:$A$1004,"&lt;="&amp;A754),""))</f>
        <v/>
      </c>
      <c r="J754" s="68">
        <f>IF(A754="","",A754+ROW()/100000)</f>
        <v/>
      </c>
    </row>
    <row r="755">
      <c r="A755" s="65" t="n"/>
      <c r="B755" s="58" t="n"/>
      <c r="C755" s="58" t="n"/>
      <c r="D755" s="66">
        <f>IF(C755="","",IFERROR(INDEX('Produtos'!$B$5:$B$204,MATCH(C755,'Produtos'!$A$5:$A$204,0)),"Código não cadastrado"))</f>
        <v/>
      </c>
      <c r="E755" s="58" t="n"/>
      <c r="F755" s="61" t="n"/>
      <c r="G755" s="59" t="n"/>
      <c r="H755" s="59" t="n"/>
      <c r="I755" s="67">
        <f>IF(OR(A755="",C755=""),"",IFERROR(INDEX('Produtos'!$F$5:$F$204,MATCH(C755,'Produtos'!$A$5:$A$204,0))+SUMIFS($F$5:$F$1004,$C$5:$C$1004,C755,$E$5:$E$1004,"Entrada",$A$5:$A$1004,"&lt;="&amp;A755)-SUMIFS($F$5:$F$1004,$C$5:$C$1004,C755,$E$5:$E$1004,"Saída",$A$5:$A$1004,"&lt;="&amp;A755),""))</f>
        <v/>
      </c>
      <c r="J755" s="68">
        <f>IF(A755="","",A755+ROW()/100000)</f>
        <v/>
      </c>
    </row>
    <row r="756">
      <c r="A756" s="65" t="n"/>
      <c r="B756" s="58" t="n"/>
      <c r="C756" s="58" t="n"/>
      <c r="D756" s="66">
        <f>IF(C756="","",IFERROR(INDEX('Produtos'!$B$5:$B$204,MATCH(C756,'Produtos'!$A$5:$A$204,0)),"Código não cadastrado"))</f>
        <v/>
      </c>
      <c r="E756" s="58" t="n"/>
      <c r="F756" s="61" t="n"/>
      <c r="G756" s="59" t="n"/>
      <c r="H756" s="59" t="n"/>
      <c r="I756" s="67">
        <f>IF(OR(A756="",C756=""),"",IFERROR(INDEX('Produtos'!$F$5:$F$204,MATCH(C756,'Produtos'!$A$5:$A$204,0))+SUMIFS($F$5:$F$1004,$C$5:$C$1004,C756,$E$5:$E$1004,"Entrada",$A$5:$A$1004,"&lt;="&amp;A756)-SUMIFS($F$5:$F$1004,$C$5:$C$1004,C756,$E$5:$E$1004,"Saída",$A$5:$A$1004,"&lt;="&amp;A756),""))</f>
        <v/>
      </c>
      <c r="J756" s="68">
        <f>IF(A756="","",A756+ROW()/100000)</f>
        <v/>
      </c>
    </row>
    <row r="757">
      <c r="A757" s="65" t="n"/>
      <c r="B757" s="58" t="n"/>
      <c r="C757" s="58" t="n"/>
      <c r="D757" s="66">
        <f>IF(C757="","",IFERROR(INDEX('Produtos'!$B$5:$B$204,MATCH(C757,'Produtos'!$A$5:$A$204,0)),"Código não cadastrado"))</f>
        <v/>
      </c>
      <c r="E757" s="58" t="n"/>
      <c r="F757" s="61" t="n"/>
      <c r="G757" s="59" t="n"/>
      <c r="H757" s="59" t="n"/>
      <c r="I757" s="67">
        <f>IF(OR(A757="",C757=""),"",IFERROR(INDEX('Produtos'!$F$5:$F$204,MATCH(C757,'Produtos'!$A$5:$A$204,0))+SUMIFS($F$5:$F$1004,$C$5:$C$1004,C757,$E$5:$E$1004,"Entrada",$A$5:$A$1004,"&lt;="&amp;A757)-SUMIFS($F$5:$F$1004,$C$5:$C$1004,C757,$E$5:$E$1004,"Saída",$A$5:$A$1004,"&lt;="&amp;A757),""))</f>
        <v/>
      </c>
      <c r="J757" s="68">
        <f>IF(A757="","",A757+ROW()/100000)</f>
        <v/>
      </c>
    </row>
    <row r="758">
      <c r="A758" s="65" t="n"/>
      <c r="B758" s="58" t="n"/>
      <c r="C758" s="58" t="n"/>
      <c r="D758" s="66">
        <f>IF(C758="","",IFERROR(INDEX('Produtos'!$B$5:$B$204,MATCH(C758,'Produtos'!$A$5:$A$204,0)),"Código não cadastrado"))</f>
        <v/>
      </c>
      <c r="E758" s="58" t="n"/>
      <c r="F758" s="61" t="n"/>
      <c r="G758" s="59" t="n"/>
      <c r="H758" s="59" t="n"/>
      <c r="I758" s="67">
        <f>IF(OR(A758="",C758=""),"",IFERROR(INDEX('Produtos'!$F$5:$F$204,MATCH(C758,'Produtos'!$A$5:$A$204,0))+SUMIFS($F$5:$F$1004,$C$5:$C$1004,C758,$E$5:$E$1004,"Entrada",$A$5:$A$1004,"&lt;="&amp;A758)-SUMIFS($F$5:$F$1004,$C$5:$C$1004,C758,$E$5:$E$1004,"Saída",$A$5:$A$1004,"&lt;="&amp;A758),""))</f>
        <v/>
      </c>
      <c r="J758" s="68">
        <f>IF(A758="","",A758+ROW()/100000)</f>
        <v/>
      </c>
    </row>
    <row r="759">
      <c r="A759" s="65" t="n"/>
      <c r="B759" s="58" t="n"/>
      <c r="C759" s="58" t="n"/>
      <c r="D759" s="66">
        <f>IF(C759="","",IFERROR(INDEX('Produtos'!$B$5:$B$204,MATCH(C759,'Produtos'!$A$5:$A$204,0)),"Código não cadastrado"))</f>
        <v/>
      </c>
      <c r="E759" s="58" t="n"/>
      <c r="F759" s="61" t="n"/>
      <c r="G759" s="59" t="n"/>
      <c r="H759" s="59" t="n"/>
      <c r="I759" s="67">
        <f>IF(OR(A759="",C759=""),"",IFERROR(INDEX('Produtos'!$F$5:$F$204,MATCH(C759,'Produtos'!$A$5:$A$204,0))+SUMIFS($F$5:$F$1004,$C$5:$C$1004,C759,$E$5:$E$1004,"Entrada",$A$5:$A$1004,"&lt;="&amp;A759)-SUMIFS($F$5:$F$1004,$C$5:$C$1004,C759,$E$5:$E$1004,"Saída",$A$5:$A$1004,"&lt;="&amp;A759),""))</f>
        <v/>
      </c>
      <c r="J759" s="68">
        <f>IF(A759="","",A759+ROW()/100000)</f>
        <v/>
      </c>
    </row>
    <row r="760">
      <c r="A760" s="65" t="n"/>
      <c r="B760" s="58" t="n"/>
      <c r="C760" s="58" t="n"/>
      <c r="D760" s="66">
        <f>IF(C760="","",IFERROR(INDEX('Produtos'!$B$5:$B$204,MATCH(C760,'Produtos'!$A$5:$A$204,0)),"Código não cadastrado"))</f>
        <v/>
      </c>
      <c r="E760" s="58" t="n"/>
      <c r="F760" s="61" t="n"/>
      <c r="G760" s="59" t="n"/>
      <c r="H760" s="59" t="n"/>
      <c r="I760" s="67">
        <f>IF(OR(A760="",C760=""),"",IFERROR(INDEX('Produtos'!$F$5:$F$204,MATCH(C760,'Produtos'!$A$5:$A$204,0))+SUMIFS($F$5:$F$1004,$C$5:$C$1004,C760,$E$5:$E$1004,"Entrada",$A$5:$A$1004,"&lt;="&amp;A760)-SUMIFS($F$5:$F$1004,$C$5:$C$1004,C760,$E$5:$E$1004,"Saída",$A$5:$A$1004,"&lt;="&amp;A760),""))</f>
        <v/>
      </c>
      <c r="J760" s="68">
        <f>IF(A760="","",A760+ROW()/100000)</f>
        <v/>
      </c>
    </row>
    <row r="761">
      <c r="A761" s="65" t="n"/>
      <c r="B761" s="58" t="n"/>
      <c r="C761" s="58" t="n"/>
      <c r="D761" s="66">
        <f>IF(C761="","",IFERROR(INDEX('Produtos'!$B$5:$B$204,MATCH(C761,'Produtos'!$A$5:$A$204,0)),"Código não cadastrado"))</f>
        <v/>
      </c>
      <c r="E761" s="58" t="n"/>
      <c r="F761" s="61" t="n"/>
      <c r="G761" s="59" t="n"/>
      <c r="H761" s="59" t="n"/>
      <c r="I761" s="67">
        <f>IF(OR(A761="",C761=""),"",IFERROR(INDEX('Produtos'!$F$5:$F$204,MATCH(C761,'Produtos'!$A$5:$A$204,0))+SUMIFS($F$5:$F$1004,$C$5:$C$1004,C761,$E$5:$E$1004,"Entrada",$A$5:$A$1004,"&lt;="&amp;A761)-SUMIFS($F$5:$F$1004,$C$5:$C$1004,C761,$E$5:$E$1004,"Saída",$A$5:$A$1004,"&lt;="&amp;A761),""))</f>
        <v/>
      </c>
      <c r="J761" s="68">
        <f>IF(A761="","",A761+ROW()/100000)</f>
        <v/>
      </c>
    </row>
    <row r="762">
      <c r="A762" s="65" t="n"/>
      <c r="B762" s="58" t="n"/>
      <c r="C762" s="58" t="n"/>
      <c r="D762" s="66">
        <f>IF(C762="","",IFERROR(INDEX('Produtos'!$B$5:$B$204,MATCH(C762,'Produtos'!$A$5:$A$204,0)),"Código não cadastrado"))</f>
        <v/>
      </c>
      <c r="E762" s="58" t="n"/>
      <c r="F762" s="61" t="n"/>
      <c r="G762" s="59" t="n"/>
      <c r="H762" s="59" t="n"/>
      <c r="I762" s="67">
        <f>IF(OR(A762="",C762=""),"",IFERROR(INDEX('Produtos'!$F$5:$F$204,MATCH(C762,'Produtos'!$A$5:$A$204,0))+SUMIFS($F$5:$F$1004,$C$5:$C$1004,C762,$E$5:$E$1004,"Entrada",$A$5:$A$1004,"&lt;="&amp;A762)-SUMIFS($F$5:$F$1004,$C$5:$C$1004,C762,$E$5:$E$1004,"Saída",$A$5:$A$1004,"&lt;="&amp;A762),""))</f>
        <v/>
      </c>
      <c r="J762" s="68">
        <f>IF(A762="","",A762+ROW()/100000)</f>
        <v/>
      </c>
    </row>
    <row r="763">
      <c r="A763" s="65" t="n"/>
      <c r="B763" s="58" t="n"/>
      <c r="C763" s="58" t="n"/>
      <c r="D763" s="66">
        <f>IF(C763="","",IFERROR(INDEX('Produtos'!$B$5:$B$204,MATCH(C763,'Produtos'!$A$5:$A$204,0)),"Código não cadastrado"))</f>
        <v/>
      </c>
      <c r="E763" s="58" t="n"/>
      <c r="F763" s="61" t="n"/>
      <c r="G763" s="59" t="n"/>
      <c r="H763" s="59" t="n"/>
      <c r="I763" s="67">
        <f>IF(OR(A763="",C763=""),"",IFERROR(INDEX('Produtos'!$F$5:$F$204,MATCH(C763,'Produtos'!$A$5:$A$204,0))+SUMIFS($F$5:$F$1004,$C$5:$C$1004,C763,$E$5:$E$1004,"Entrada",$A$5:$A$1004,"&lt;="&amp;A763)-SUMIFS($F$5:$F$1004,$C$5:$C$1004,C763,$E$5:$E$1004,"Saída",$A$5:$A$1004,"&lt;="&amp;A763),""))</f>
        <v/>
      </c>
      <c r="J763" s="68">
        <f>IF(A763="","",A763+ROW()/100000)</f>
        <v/>
      </c>
    </row>
    <row r="764">
      <c r="A764" s="65" t="n"/>
      <c r="B764" s="58" t="n"/>
      <c r="C764" s="58" t="n"/>
      <c r="D764" s="66">
        <f>IF(C764="","",IFERROR(INDEX('Produtos'!$B$5:$B$204,MATCH(C764,'Produtos'!$A$5:$A$204,0)),"Código não cadastrado"))</f>
        <v/>
      </c>
      <c r="E764" s="58" t="n"/>
      <c r="F764" s="61" t="n"/>
      <c r="G764" s="59" t="n"/>
      <c r="H764" s="59" t="n"/>
      <c r="I764" s="67">
        <f>IF(OR(A764="",C764=""),"",IFERROR(INDEX('Produtos'!$F$5:$F$204,MATCH(C764,'Produtos'!$A$5:$A$204,0))+SUMIFS($F$5:$F$1004,$C$5:$C$1004,C764,$E$5:$E$1004,"Entrada",$A$5:$A$1004,"&lt;="&amp;A764)-SUMIFS($F$5:$F$1004,$C$5:$C$1004,C764,$E$5:$E$1004,"Saída",$A$5:$A$1004,"&lt;="&amp;A764),""))</f>
        <v/>
      </c>
      <c r="J764" s="68">
        <f>IF(A764="","",A764+ROW()/100000)</f>
        <v/>
      </c>
    </row>
    <row r="765">
      <c r="A765" s="65" t="n"/>
      <c r="B765" s="58" t="n"/>
      <c r="C765" s="58" t="n"/>
      <c r="D765" s="66">
        <f>IF(C765="","",IFERROR(INDEX('Produtos'!$B$5:$B$204,MATCH(C765,'Produtos'!$A$5:$A$204,0)),"Código não cadastrado"))</f>
        <v/>
      </c>
      <c r="E765" s="58" t="n"/>
      <c r="F765" s="61" t="n"/>
      <c r="G765" s="59" t="n"/>
      <c r="H765" s="59" t="n"/>
      <c r="I765" s="67">
        <f>IF(OR(A765="",C765=""),"",IFERROR(INDEX('Produtos'!$F$5:$F$204,MATCH(C765,'Produtos'!$A$5:$A$204,0))+SUMIFS($F$5:$F$1004,$C$5:$C$1004,C765,$E$5:$E$1004,"Entrada",$A$5:$A$1004,"&lt;="&amp;A765)-SUMIFS($F$5:$F$1004,$C$5:$C$1004,C765,$E$5:$E$1004,"Saída",$A$5:$A$1004,"&lt;="&amp;A765),""))</f>
        <v/>
      </c>
      <c r="J765" s="68">
        <f>IF(A765="","",A765+ROW()/100000)</f>
        <v/>
      </c>
    </row>
    <row r="766">
      <c r="A766" s="65" t="n"/>
      <c r="B766" s="58" t="n"/>
      <c r="C766" s="58" t="n"/>
      <c r="D766" s="66">
        <f>IF(C766="","",IFERROR(INDEX('Produtos'!$B$5:$B$204,MATCH(C766,'Produtos'!$A$5:$A$204,0)),"Código não cadastrado"))</f>
        <v/>
      </c>
      <c r="E766" s="58" t="n"/>
      <c r="F766" s="61" t="n"/>
      <c r="G766" s="59" t="n"/>
      <c r="H766" s="59" t="n"/>
      <c r="I766" s="67">
        <f>IF(OR(A766="",C766=""),"",IFERROR(INDEX('Produtos'!$F$5:$F$204,MATCH(C766,'Produtos'!$A$5:$A$204,0))+SUMIFS($F$5:$F$1004,$C$5:$C$1004,C766,$E$5:$E$1004,"Entrada",$A$5:$A$1004,"&lt;="&amp;A766)-SUMIFS($F$5:$F$1004,$C$5:$C$1004,C766,$E$5:$E$1004,"Saída",$A$5:$A$1004,"&lt;="&amp;A766),""))</f>
        <v/>
      </c>
      <c r="J766" s="68">
        <f>IF(A766="","",A766+ROW()/100000)</f>
        <v/>
      </c>
    </row>
    <row r="767">
      <c r="A767" s="65" t="n"/>
      <c r="B767" s="58" t="n"/>
      <c r="C767" s="58" t="n"/>
      <c r="D767" s="66">
        <f>IF(C767="","",IFERROR(INDEX('Produtos'!$B$5:$B$204,MATCH(C767,'Produtos'!$A$5:$A$204,0)),"Código não cadastrado"))</f>
        <v/>
      </c>
      <c r="E767" s="58" t="n"/>
      <c r="F767" s="61" t="n"/>
      <c r="G767" s="59" t="n"/>
      <c r="H767" s="59" t="n"/>
      <c r="I767" s="67">
        <f>IF(OR(A767="",C767=""),"",IFERROR(INDEX('Produtos'!$F$5:$F$204,MATCH(C767,'Produtos'!$A$5:$A$204,0))+SUMIFS($F$5:$F$1004,$C$5:$C$1004,C767,$E$5:$E$1004,"Entrada",$A$5:$A$1004,"&lt;="&amp;A767)-SUMIFS($F$5:$F$1004,$C$5:$C$1004,C767,$E$5:$E$1004,"Saída",$A$5:$A$1004,"&lt;="&amp;A767),""))</f>
        <v/>
      </c>
      <c r="J767" s="68">
        <f>IF(A767="","",A767+ROW()/100000)</f>
        <v/>
      </c>
    </row>
    <row r="768">
      <c r="A768" s="65" t="n"/>
      <c r="B768" s="58" t="n"/>
      <c r="C768" s="58" t="n"/>
      <c r="D768" s="66">
        <f>IF(C768="","",IFERROR(INDEX('Produtos'!$B$5:$B$204,MATCH(C768,'Produtos'!$A$5:$A$204,0)),"Código não cadastrado"))</f>
        <v/>
      </c>
      <c r="E768" s="58" t="n"/>
      <c r="F768" s="61" t="n"/>
      <c r="G768" s="59" t="n"/>
      <c r="H768" s="59" t="n"/>
      <c r="I768" s="67">
        <f>IF(OR(A768="",C768=""),"",IFERROR(INDEX('Produtos'!$F$5:$F$204,MATCH(C768,'Produtos'!$A$5:$A$204,0))+SUMIFS($F$5:$F$1004,$C$5:$C$1004,C768,$E$5:$E$1004,"Entrada",$A$5:$A$1004,"&lt;="&amp;A768)-SUMIFS($F$5:$F$1004,$C$5:$C$1004,C768,$E$5:$E$1004,"Saída",$A$5:$A$1004,"&lt;="&amp;A768),""))</f>
        <v/>
      </c>
      <c r="J768" s="68">
        <f>IF(A768="","",A768+ROW()/100000)</f>
        <v/>
      </c>
    </row>
    <row r="769">
      <c r="A769" s="65" t="n"/>
      <c r="B769" s="58" t="n"/>
      <c r="C769" s="58" t="n"/>
      <c r="D769" s="66">
        <f>IF(C769="","",IFERROR(INDEX('Produtos'!$B$5:$B$204,MATCH(C769,'Produtos'!$A$5:$A$204,0)),"Código não cadastrado"))</f>
        <v/>
      </c>
      <c r="E769" s="58" t="n"/>
      <c r="F769" s="61" t="n"/>
      <c r="G769" s="59" t="n"/>
      <c r="H769" s="59" t="n"/>
      <c r="I769" s="67">
        <f>IF(OR(A769="",C769=""),"",IFERROR(INDEX('Produtos'!$F$5:$F$204,MATCH(C769,'Produtos'!$A$5:$A$204,0))+SUMIFS($F$5:$F$1004,$C$5:$C$1004,C769,$E$5:$E$1004,"Entrada",$A$5:$A$1004,"&lt;="&amp;A769)-SUMIFS($F$5:$F$1004,$C$5:$C$1004,C769,$E$5:$E$1004,"Saída",$A$5:$A$1004,"&lt;="&amp;A769),""))</f>
        <v/>
      </c>
      <c r="J769" s="68">
        <f>IF(A769="","",A769+ROW()/100000)</f>
        <v/>
      </c>
    </row>
    <row r="770">
      <c r="A770" s="65" t="n"/>
      <c r="B770" s="58" t="n"/>
      <c r="C770" s="58" t="n"/>
      <c r="D770" s="66">
        <f>IF(C770="","",IFERROR(INDEX('Produtos'!$B$5:$B$204,MATCH(C770,'Produtos'!$A$5:$A$204,0)),"Código não cadastrado"))</f>
        <v/>
      </c>
      <c r="E770" s="58" t="n"/>
      <c r="F770" s="61" t="n"/>
      <c r="G770" s="59" t="n"/>
      <c r="H770" s="59" t="n"/>
      <c r="I770" s="67">
        <f>IF(OR(A770="",C770=""),"",IFERROR(INDEX('Produtos'!$F$5:$F$204,MATCH(C770,'Produtos'!$A$5:$A$204,0))+SUMIFS($F$5:$F$1004,$C$5:$C$1004,C770,$E$5:$E$1004,"Entrada",$A$5:$A$1004,"&lt;="&amp;A770)-SUMIFS($F$5:$F$1004,$C$5:$C$1004,C770,$E$5:$E$1004,"Saída",$A$5:$A$1004,"&lt;="&amp;A770),""))</f>
        <v/>
      </c>
      <c r="J770" s="68">
        <f>IF(A770="","",A770+ROW()/100000)</f>
        <v/>
      </c>
    </row>
    <row r="771">
      <c r="A771" s="65" t="n"/>
      <c r="B771" s="58" t="n"/>
      <c r="C771" s="58" t="n"/>
      <c r="D771" s="66">
        <f>IF(C771="","",IFERROR(INDEX('Produtos'!$B$5:$B$204,MATCH(C771,'Produtos'!$A$5:$A$204,0)),"Código não cadastrado"))</f>
        <v/>
      </c>
      <c r="E771" s="58" t="n"/>
      <c r="F771" s="61" t="n"/>
      <c r="G771" s="59" t="n"/>
      <c r="H771" s="59" t="n"/>
      <c r="I771" s="67">
        <f>IF(OR(A771="",C771=""),"",IFERROR(INDEX('Produtos'!$F$5:$F$204,MATCH(C771,'Produtos'!$A$5:$A$204,0))+SUMIFS($F$5:$F$1004,$C$5:$C$1004,C771,$E$5:$E$1004,"Entrada",$A$5:$A$1004,"&lt;="&amp;A771)-SUMIFS($F$5:$F$1004,$C$5:$C$1004,C771,$E$5:$E$1004,"Saída",$A$5:$A$1004,"&lt;="&amp;A771),""))</f>
        <v/>
      </c>
      <c r="J771" s="68">
        <f>IF(A771="","",A771+ROW()/100000)</f>
        <v/>
      </c>
    </row>
    <row r="772">
      <c r="A772" s="65" t="n"/>
      <c r="B772" s="58" t="n"/>
      <c r="C772" s="58" t="n"/>
      <c r="D772" s="66">
        <f>IF(C772="","",IFERROR(INDEX('Produtos'!$B$5:$B$204,MATCH(C772,'Produtos'!$A$5:$A$204,0)),"Código não cadastrado"))</f>
        <v/>
      </c>
      <c r="E772" s="58" t="n"/>
      <c r="F772" s="61" t="n"/>
      <c r="G772" s="59" t="n"/>
      <c r="H772" s="59" t="n"/>
      <c r="I772" s="67">
        <f>IF(OR(A772="",C772=""),"",IFERROR(INDEX('Produtos'!$F$5:$F$204,MATCH(C772,'Produtos'!$A$5:$A$204,0))+SUMIFS($F$5:$F$1004,$C$5:$C$1004,C772,$E$5:$E$1004,"Entrada",$A$5:$A$1004,"&lt;="&amp;A772)-SUMIFS($F$5:$F$1004,$C$5:$C$1004,C772,$E$5:$E$1004,"Saída",$A$5:$A$1004,"&lt;="&amp;A772),""))</f>
        <v/>
      </c>
      <c r="J772" s="68">
        <f>IF(A772="","",A772+ROW()/100000)</f>
        <v/>
      </c>
    </row>
    <row r="773">
      <c r="A773" s="65" t="n"/>
      <c r="B773" s="58" t="n"/>
      <c r="C773" s="58" t="n"/>
      <c r="D773" s="66">
        <f>IF(C773="","",IFERROR(INDEX('Produtos'!$B$5:$B$204,MATCH(C773,'Produtos'!$A$5:$A$204,0)),"Código não cadastrado"))</f>
        <v/>
      </c>
      <c r="E773" s="58" t="n"/>
      <c r="F773" s="61" t="n"/>
      <c r="G773" s="59" t="n"/>
      <c r="H773" s="59" t="n"/>
      <c r="I773" s="67">
        <f>IF(OR(A773="",C773=""),"",IFERROR(INDEX('Produtos'!$F$5:$F$204,MATCH(C773,'Produtos'!$A$5:$A$204,0))+SUMIFS($F$5:$F$1004,$C$5:$C$1004,C773,$E$5:$E$1004,"Entrada",$A$5:$A$1004,"&lt;="&amp;A773)-SUMIFS($F$5:$F$1004,$C$5:$C$1004,C773,$E$5:$E$1004,"Saída",$A$5:$A$1004,"&lt;="&amp;A773),""))</f>
        <v/>
      </c>
      <c r="J773" s="68">
        <f>IF(A773="","",A773+ROW()/100000)</f>
        <v/>
      </c>
    </row>
    <row r="774">
      <c r="A774" s="65" t="n"/>
      <c r="B774" s="58" t="n"/>
      <c r="C774" s="58" t="n"/>
      <c r="D774" s="66">
        <f>IF(C774="","",IFERROR(INDEX('Produtos'!$B$5:$B$204,MATCH(C774,'Produtos'!$A$5:$A$204,0)),"Código não cadastrado"))</f>
        <v/>
      </c>
      <c r="E774" s="58" t="n"/>
      <c r="F774" s="61" t="n"/>
      <c r="G774" s="59" t="n"/>
      <c r="H774" s="59" t="n"/>
      <c r="I774" s="67">
        <f>IF(OR(A774="",C774=""),"",IFERROR(INDEX('Produtos'!$F$5:$F$204,MATCH(C774,'Produtos'!$A$5:$A$204,0))+SUMIFS($F$5:$F$1004,$C$5:$C$1004,C774,$E$5:$E$1004,"Entrada",$A$5:$A$1004,"&lt;="&amp;A774)-SUMIFS($F$5:$F$1004,$C$5:$C$1004,C774,$E$5:$E$1004,"Saída",$A$5:$A$1004,"&lt;="&amp;A774),""))</f>
        <v/>
      </c>
      <c r="J774" s="68">
        <f>IF(A774="","",A774+ROW()/100000)</f>
        <v/>
      </c>
    </row>
    <row r="775">
      <c r="A775" s="65" t="n"/>
      <c r="B775" s="58" t="n"/>
      <c r="C775" s="58" t="n"/>
      <c r="D775" s="66">
        <f>IF(C775="","",IFERROR(INDEX('Produtos'!$B$5:$B$204,MATCH(C775,'Produtos'!$A$5:$A$204,0)),"Código não cadastrado"))</f>
        <v/>
      </c>
      <c r="E775" s="58" t="n"/>
      <c r="F775" s="61" t="n"/>
      <c r="G775" s="59" t="n"/>
      <c r="H775" s="59" t="n"/>
      <c r="I775" s="67">
        <f>IF(OR(A775="",C775=""),"",IFERROR(INDEX('Produtos'!$F$5:$F$204,MATCH(C775,'Produtos'!$A$5:$A$204,0))+SUMIFS($F$5:$F$1004,$C$5:$C$1004,C775,$E$5:$E$1004,"Entrada",$A$5:$A$1004,"&lt;="&amp;A775)-SUMIFS($F$5:$F$1004,$C$5:$C$1004,C775,$E$5:$E$1004,"Saída",$A$5:$A$1004,"&lt;="&amp;A775),""))</f>
        <v/>
      </c>
      <c r="J775" s="68">
        <f>IF(A775="","",A775+ROW()/100000)</f>
        <v/>
      </c>
    </row>
    <row r="776">
      <c r="A776" s="65" t="n"/>
      <c r="B776" s="58" t="n"/>
      <c r="C776" s="58" t="n"/>
      <c r="D776" s="66">
        <f>IF(C776="","",IFERROR(INDEX('Produtos'!$B$5:$B$204,MATCH(C776,'Produtos'!$A$5:$A$204,0)),"Código não cadastrado"))</f>
        <v/>
      </c>
      <c r="E776" s="58" t="n"/>
      <c r="F776" s="61" t="n"/>
      <c r="G776" s="59" t="n"/>
      <c r="H776" s="59" t="n"/>
      <c r="I776" s="67">
        <f>IF(OR(A776="",C776=""),"",IFERROR(INDEX('Produtos'!$F$5:$F$204,MATCH(C776,'Produtos'!$A$5:$A$204,0))+SUMIFS($F$5:$F$1004,$C$5:$C$1004,C776,$E$5:$E$1004,"Entrada",$A$5:$A$1004,"&lt;="&amp;A776)-SUMIFS($F$5:$F$1004,$C$5:$C$1004,C776,$E$5:$E$1004,"Saída",$A$5:$A$1004,"&lt;="&amp;A776),""))</f>
        <v/>
      </c>
      <c r="J776" s="68">
        <f>IF(A776="","",A776+ROW()/100000)</f>
        <v/>
      </c>
    </row>
    <row r="777">
      <c r="A777" s="65" t="n"/>
      <c r="B777" s="58" t="n"/>
      <c r="C777" s="58" t="n"/>
      <c r="D777" s="66">
        <f>IF(C777="","",IFERROR(INDEX('Produtos'!$B$5:$B$204,MATCH(C777,'Produtos'!$A$5:$A$204,0)),"Código não cadastrado"))</f>
        <v/>
      </c>
      <c r="E777" s="58" t="n"/>
      <c r="F777" s="61" t="n"/>
      <c r="G777" s="59" t="n"/>
      <c r="H777" s="59" t="n"/>
      <c r="I777" s="67">
        <f>IF(OR(A777="",C777=""),"",IFERROR(INDEX('Produtos'!$F$5:$F$204,MATCH(C777,'Produtos'!$A$5:$A$204,0))+SUMIFS($F$5:$F$1004,$C$5:$C$1004,C777,$E$5:$E$1004,"Entrada",$A$5:$A$1004,"&lt;="&amp;A777)-SUMIFS($F$5:$F$1004,$C$5:$C$1004,C777,$E$5:$E$1004,"Saída",$A$5:$A$1004,"&lt;="&amp;A777),""))</f>
        <v/>
      </c>
      <c r="J777" s="68">
        <f>IF(A777="","",A777+ROW()/100000)</f>
        <v/>
      </c>
    </row>
    <row r="778">
      <c r="A778" s="65" t="n"/>
      <c r="B778" s="58" t="n"/>
      <c r="C778" s="58" t="n"/>
      <c r="D778" s="66">
        <f>IF(C778="","",IFERROR(INDEX('Produtos'!$B$5:$B$204,MATCH(C778,'Produtos'!$A$5:$A$204,0)),"Código não cadastrado"))</f>
        <v/>
      </c>
      <c r="E778" s="58" t="n"/>
      <c r="F778" s="61" t="n"/>
      <c r="G778" s="59" t="n"/>
      <c r="H778" s="59" t="n"/>
      <c r="I778" s="67">
        <f>IF(OR(A778="",C778=""),"",IFERROR(INDEX('Produtos'!$F$5:$F$204,MATCH(C778,'Produtos'!$A$5:$A$204,0))+SUMIFS($F$5:$F$1004,$C$5:$C$1004,C778,$E$5:$E$1004,"Entrada",$A$5:$A$1004,"&lt;="&amp;A778)-SUMIFS($F$5:$F$1004,$C$5:$C$1004,C778,$E$5:$E$1004,"Saída",$A$5:$A$1004,"&lt;="&amp;A778),""))</f>
        <v/>
      </c>
      <c r="J778" s="68">
        <f>IF(A778="","",A778+ROW()/100000)</f>
        <v/>
      </c>
    </row>
    <row r="779">
      <c r="A779" s="65" t="n"/>
      <c r="B779" s="58" t="n"/>
      <c r="C779" s="58" t="n"/>
      <c r="D779" s="66">
        <f>IF(C779="","",IFERROR(INDEX('Produtos'!$B$5:$B$204,MATCH(C779,'Produtos'!$A$5:$A$204,0)),"Código não cadastrado"))</f>
        <v/>
      </c>
      <c r="E779" s="58" t="n"/>
      <c r="F779" s="61" t="n"/>
      <c r="G779" s="59" t="n"/>
      <c r="H779" s="59" t="n"/>
      <c r="I779" s="67">
        <f>IF(OR(A779="",C779=""),"",IFERROR(INDEX('Produtos'!$F$5:$F$204,MATCH(C779,'Produtos'!$A$5:$A$204,0))+SUMIFS($F$5:$F$1004,$C$5:$C$1004,C779,$E$5:$E$1004,"Entrada",$A$5:$A$1004,"&lt;="&amp;A779)-SUMIFS($F$5:$F$1004,$C$5:$C$1004,C779,$E$5:$E$1004,"Saída",$A$5:$A$1004,"&lt;="&amp;A779),""))</f>
        <v/>
      </c>
      <c r="J779" s="68">
        <f>IF(A779="","",A779+ROW()/100000)</f>
        <v/>
      </c>
    </row>
    <row r="780">
      <c r="A780" s="65" t="n"/>
      <c r="B780" s="58" t="n"/>
      <c r="C780" s="58" t="n"/>
      <c r="D780" s="66">
        <f>IF(C780="","",IFERROR(INDEX('Produtos'!$B$5:$B$204,MATCH(C780,'Produtos'!$A$5:$A$204,0)),"Código não cadastrado"))</f>
        <v/>
      </c>
      <c r="E780" s="58" t="n"/>
      <c r="F780" s="61" t="n"/>
      <c r="G780" s="59" t="n"/>
      <c r="H780" s="59" t="n"/>
      <c r="I780" s="67">
        <f>IF(OR(A780="",C780=""),"",IFERROR(INDEX('Produtos'!$F$5:$F$204,MATCH(C780,'Produtos'!$A$5:$A$204,0))+SUMIFS($F$5:$F$1004,$C$5:$C$1004,C780,$E$5:$E$1004,"Entrada",$A$5:$A$1004,"&lt;="&amp;A780)-SUMIFS($F$5:$F$1004,$C$5:$C$1004,C780,$E$5:$E$1004,"Saída",$A$5:$A$1004,"&lt;="&amp;A780),""))</f>
        <v/>
      </c>
      <c r="J780" s="68">
        <f>IF(A780="","",A780+ROW()/100000)</f>
        <v/>
      </c>
    </row>
    <row r="781">
      <c r="A781" s="65" t="n"/>
      <c r="B781" s="58" t="n"/>
      <c r="C781" s="58" t="n"/>
      <c r="D781" s="66">
        <f>IF(C781="","",IFERROR(INDEX('Produtos'!$B$5:$B$204,MATCH(C781,'Produtos'!$A$5:$A$204,0)),"Código não cadastrado"))</f>
        <v/>
      </c>
      <c r="E781" s="58" t="n"/>
      <c r="F781" s="61" t="n"/>
      <c r="G781" s="59" t="n"/>
      <c r="H781" s="59" t="n"/>
      <c r="I781" s="67">
        <f>IF(OR(A781="",C781=""),"",IFERROR(INDEX('Produtos'!$F$5:$F$204,MATCH(C781,'Produtos'!$A$5:$A$204,0))+SUMIFS($F$5:$F$1004,$C$5:$C$1004,C781,$E$5:$E$1004,"Entrada",$A$5:$A$1004,"&lt;="&amp;A781)-SUMIFS($F$5:$F$1004,$C$5:$C$1004,C781,$E$5:$E$1004,"Saída",$A$5:$A$1004,"&lt;="&amp;A781),""))</f>
        <v/>
      </c>
      <c r="J781" s="68">
        <f>IF(A781="","",A781+ROW()/100000)</f>
        <v/>
      </c>
    </row>
    <row r="782">
      <c r="A782" s="65" t="n"/>
      <c r="B782" s="58" t="n"/>
      <c r="C782" s="58" t="n"/>
      <c r="D782" s="66">
        <f>IF(C782="","",IFERROR(INDEX('Produtos'!$B$5:$B$204,MATCH(C782,'Produtos'!$A$5:$A$204,0)),"Código não cadastrado"))</f>
        <v/>
      </c>
      <c r="E782" s="58" t="n"/>
      <c r="F782" s="61" t="n"/>
      <c r="G782" s="59" t="n"/>
      <c r="H782" s="59" t="n"/>
      <c r="I782" s="67">
        <f>IF(OR(A782="",C782=""),"",IFERROR(INDEX('Produtos'!$F$5:$F$204,MATCH(C782,'Produtos'!$A$5:$A$204,0))+SUMIFS($F$5:$F$1004,$C$5:$C$1004,C782,$E$5:$E$1004,"Entrada",$A$5:$A$1004,"&lt;="&amp;A782)-SUMIFS($F$5:$F$1004,$C$5:$C$1004,C782,$E$5:$E$1004,"Saída",$A$5:$A$1004,"&lt;="&amp;A782),""))</f>
        <v/>
      </c>
      <c r="J782" s="68">
        <f>IF(A782="","",A782+ROW()/100000)</f>
        <v/>
      </c>
    </row>
    <row r="783">
      <c r="A783" s="65" t="n"/>
      <c r="B783" s="58" t="n"/>
      <c r="C783" s="58" t="n"/>
      <c r="D783" s="66">
        <f>IF(C783="","",IFERROR(INDEX('Produtos'!$B$5:$B$204,MATCH(C783,'Produtos'!$A$5:$A$204,0)),"Código não cadastrado"))</f>
        <v/>
      </c>
      <c r="E783" s="58" t="n"/>
      <c r="F783" s="61" t="n"/>
      <c r="G783" s="59" t="n"/>
      <c r="H783" s="59" t="n"/>
      <c r="I783" s="67">
        <f>IF(OR(A783="",C783=""),"",IFERROR(INDEX('Produtos'!$F$5:$F$204,MATCH(C783,'Produtos'!$A$5:$A$204,0))+SUMIFS($F$5:$F$1004,$C$5:$C$1004,C783,$E$5:$E$1004,"Entrada",$A$5:$A$1004,"&lt;="&amp;A783)-SUMIFS($F$5:$F$1004,$C$5:$C$1004,C783,$E$5:$E$1004,"Saída",$A$5:$A$1004,"&lt;="&amp;A783),""))</f>
        <v/>
      </c>
      <c r="J783" s="68">
        <f>IF(A783="","",A783+ROW()/100000)</f>
        <v/>
      </c>
    </row>
    <row r="784">
      <c r="A784" s="65" t="n"/>
      <c r="B784" s="58" t="n"/>
      <c r="C784" s="58" t="n"/>
      <c r="D784" s="66">
        <f>IF(C784="","",IFERROR(INDEX('Produtos'!$B$5:$B$204,MATCH(C784,'Produtos'!$A$5:$A$204,0)),"Código não cadastrado"))</f>
        <v/>
      </c>
      <c r="E784" s="58" t="n"/>
      <c r="F784" s="61" t="n"/>
      <c r="G784" s="59" t="n"/>
      <c r="H784" s="59" t="n"/>
      <c r="I784" s="67">
        <f>IF(OR(A784="",C784=""),"",IFERROR(INDEX('Produtos'!$F$5:$F$204,MATCH(C784,'Produtos'!$A$5:$A$204,0))+SUMIFS($F$5:$F$1004,$C$5:$C$1004,C784,$E$5:$E$1004,"Entrada",$A$5:$A$1004,"&lt;="&amp;A784)-SUMIFS($F$5:$F$1004,$C$5:$C$1004,C784,$E$5:$E$1004,"Saída",$A$5:$A$1004,"&lt;="&amp;A784),""))</f>
        <v/>
      </c>
      <c r="J784" s="68">
        <f>IF(A784="","",A784+ROW()/100000)</f>
        <v/>
      </c>
    </row>
    <row r="785">
      <c r="A785" s="65" t="n"/>
      <c r="B785" s="58" t="n"/>
      <c r="C785" s="58" t="n"/>
      <c r="D785" s="66">
        <f>IF(C785="","",IFERROR(INDEX('Produtos'!$B$5:$B$204,MATCH(C785,'Produtos'!$A$5:$A$204,0)),"Código não cadastrado"))</f>
        <v/>
      </c>
      <c r="E785" s="58" t="n"/>
      <c r="F785" s="61" t="n"/>
      <c r="G785" s="59" t="n"/>
      <c r="H785" s="59" t="n"/>
      <c r="I785" s="67">
        <f>IF(OR(A785="",C785=""),"",IFERROR(INDEX('Produtos'!$F$5:$F$204,MATCH(C785,'Produtos'!$A$5:$A$204,0))+SUMIFS($F$5:$F$1004,$C$5:$C$1004,C785,$E$5:$E$1004,"Entrada",$A$5:$A$1004,"&lt;="&amp;A785)-SUMIFS($F$5:$F$1004,$C$5:$C$1004,C785,$E$5:$E$1004,"Saída",$A$5:$A$1004,"&lt;="&amp;A785),""))</f>
        <v/>
      </c>
      <c r="J785" s="68">
        <f>IF(A785="","",A785+ROW()/100000)</f>
        <v/>
      </c>
    </row>
    <row r="786">
      <c r="A786" s="65" t="n"/>
      <c r="B786" s="58" t="n"/>
      <c r="C786" s="58" t="n"/>
      <c r="D786" s="66">
        <f>IF(C786="","",IFERROR(INDEX('Produtos'!$B$5:$B$204,MATCH(C786,'Produtos'!$A$5:$A$204,0)),"Código não cadastrado"))</f>
        <v/>
      </c>
      <c r="E786" s="58" t="n"/>
      <c r="F786" s="61" t="n"/>
      <c r="G786" s="59" t="n"/>
      <c r="H786" s="59" t="n"/>
      <c r="I786" s="67">
        <f>IF(OR(A786="",C786=""),"",IFERROR(INDEX('Produtos'!$F$5:$F$204,MATCH(C786,'Produtos'!$A$5:$A$204,0))+SUMIFS($F$5:$F$1004,$C$5:$C$1004,C786,$E$5:$E$1004,"Entrada",$A$5:$A$1004,"&lt;="&amp;A786)-SUMIFS($F$5:$F$1004,$C$5:$C$1004,C786,$E$5:$E$1004,"Saída",$A$5:$A$1004,"&lt;="&amp;A786),""))</f>
        <v/>
      </c>
      <c r="J786" s="68">
        <f>IF(A786="","",A786+ROW()/100000)</f>
        <v/>
      </c>
    </row>
    <row r="787">
      <c r="A787" s="65" t="n"/>
      <c r="B787" s="58" t="n"/>
      <c r="C787" s="58" t="n"/>
      <c r="D787" s="66">
        <f>IF(C787="","",IFERROR(INDEX('Produtos'!$B$5:$B$204,MATCH(C787,'Produtos'!$A$5:$A$204,0)),"Código não cadastrado"))</f>
        <v/>
      </c>
      <c r="E787" s="58" t="n"/>
      <c r="F787" s="61" t="n"/>
      <c r="G787" s="59" t="n"/>
      <c r="H787" s="59" t="n"/>
      <c r="I787" s="67">
        <f>IF(OR(A787="",C787=""),"",IFERROR(INDEX('Produtos'!$F$5:$F$204,MATCH(C787,'Produtos'!$A$5:$A$204,0))+SUMIFS($F$5:$F$1004,$C$5:$C$1004,C787,$E$5:$E$1004,"Entrada",$A$5:$A$1004,"&lt;="&amp;A787)-SUMIFS($F$5:$F$1004,$C$5:$C$1004,C787,$E$5:$E$1004,"Saída",$A$5:$A$1004,"&lt;="&amp;A787),""))</f>
        <v/>
      </c>
      <c r="J787" s="68">
        <f>IF(A787="","",A787+ROW()/100000)</f>
        <v/>
      </c>
    </row>
    <row r="788">
      <c r="A788" s="65" t="n"/>
      <c r="B788" s="58" t="n"/>
      <c r="C788" s="58" t="n"/>
      <c r="D788" s="66">
        <f>IF(C788="","",IFERROR(INDEX('Produtos'!$B$5:$B$204,MATCH(C788,'Produtos'!$A$5:$A$204,0)),"Código não cadastrado"))</f>
        <v/>
      </c>
      <c r="E788" s="58" t="n"/>
      <c r="F788" s="61" t="n"/>
      <c r="G788" s="59" t="n"/>
      <c r="H788" s="59" t="n"/>
      <c r="I788" s="67">
        <f>IF(OR(A788="",C788=""),"",IFERROR(INDEX('Produtos'!$F$5:$F$204,MATCH(C788,'Produtos'!$A$5:$A$204,0))+SUMIFS($F$5:$F$1004,$C$5:$C$1004,C788,$E$5:$E$1004,"Entrada",$A$5:$A$1004,"&lt;="&amp;A788)-SUMIFS($F$5:$F$1004,$C$5:$C$1004,C788,$E$5:$E$1004,"Saída",$A$5:$A$1004,"&lt;="&amp;A788),""))</f>
        <v/>
      </c>
      <c r="J788" s="68">
        <f>IF(A788="","",A788+ROW()/100000)</f>
        <v/>
      </c>
    </row>
    <row r="789">
      <c r="A789" s="65" t="n"/>
      <c r="B789" s="58" t="n"/>
      <c r="C789" s="58" t="n"/>
      <c r="D789" s="66">
        <f>IF(C789="","",IFERROR(INDEX('Produtos'!$B$5:$B$204,MATCH(C789,'Produtos'!$A$5:$A$204,0)),"Código não cadastrado"))</f>
        <v/>
      </c>
      <c r="E789" s="58" t="n"/>
      <c r="F789" s="61" t="n"/>
      <c r="G789" s="59" t="n"/>
      <c r="H789" s="59" t="n"/>
      <c r="I789" s="67">
        <f>IF(OR(A789="",C789=""),"",IFERROR(INDEX('Produtos'!$F$5:$F$204,MATCH(C789,'Produtos'!$A$5:$A$204,0))+SUMIFS($F$5:$F$1004,$C$5:$C$1004,C789,$E$5:$E$1004,"Entrada",$A$5:$A$1004,"&lt;="&amp;A789)-SUMIFS($F$5:$F$1004,$C$5:$C$1004,C789,$E$5:$E$1004,"Saída",$A$5:$A$1004,"&lt;="&amp;A789),""))</f>
        <v/>
      </c>
      <c r="J789" s="68">
        <f>IF(A789="","",A789+ROW()/100000)</f>
        <v/>
      </c>
    </row>
    <row r="790">
      <c r="A790" s="65" t="n"/>
      <c r="B790" s="58" t="n"/>
      <c r="C790" s="58" t="n"/>
      <c r="D790" s="66">
        <f>IF(C790="","",IFERROR(INDEX('Produtos'!$B$5:$B$204,MATCH(C790,'Produtos'!$A$5:$A$204,0)),"Código não cadastrado"))</f>
        <v/>
      </c>
      <c r="E790" s="58" t="n"/>
      <c r="F790" s="61" t="n"/>
      <c r="G790" s="59" t="n"/>
      <c r="H790" s="59" t="n"/>
      <c r="I790" s="67">
        <f>IF(OR(A790="",C790=""),"",IFERROR(INDEX('Produtos'!$F$5:$F$204,MATCH(C790,'Produtos'!$A$5:$A$204,0))+SUMIFS($F$5:$F$1004,$C$5:$C$1004,C790,$E$5:$E$1004,"Entrada",$A$5:$A$1004,"&lt;="&amp;A790)-SUMIFS($F$5:$F$1004,$C$5:$C$1004,C790,$E$5:$E$1004,"Saída",$A$5:$A$1004,"&lt;="&amp;A790),""))</f>
        <v/>
      </c>
      <c r="J790" s="68">
        <f>IF(A790="","",A790+ROW()/100000)</f>
        <v/>
      </c>
    </row>
    <row r="791">
      <c r="A791" s="65" t="n"/>
      <c r="B791" s="58" t="n"/>
      <c r="C791" s="58" t="n"/>
      <c r="D791" s="66">
        <f>IF(C791="","",IFERROR(INDEX('Produtos'!$B$5:$B$204,MATCH(C791,'Produtos'!$A$5:$A$204,0)),"Código não cadastrado"))</f>
        <v/>
      </c>
      <c r="E791" s="58" t="n"/>
      <c r="F791" s="61" t="n"/>
      <c r="G791" s="59" t="n"/>
      <c r="H791" s="59" t="n"/>
      <c r="I791" s="67">
        <f>IF(OR(A791="",C791=""),"",IFERROR(INDEX('Produtos'!$F$5:$F$204,MATCH(C791,'Produtos'!$A$5:$A$204,0))+SUMIFS($F$5:$F$1004,$C$5:$C$1004,C791,$E$5:$E$1004,"Entrada",$A$5:$A$1004,"&lt;="&amp;A791)-SUMIFS($F$5:$F$1004,$C$5:$C$1004,C791,$E$5:$E$1004,"Saída",$A$5:$A$1004,"&lt;="&amp;A791),""))</f>
        <v/>
      </c>
      <c r="J791" s="68">
        <f>IF(A791="","",A791+ROW()/100000)</f>
        <v/>
      </c>
    </row>
    <row r="792">
      <c r="A792" s="65" t="n"/>
      <c r="B792" s="58" t="n"/>
      <c r="C792" s="58" t="n"/>
      <c r="D792" s="66">
        <f>IF(C792="","",IFERROR(INDEX('Produtos'!$B$5:$B$204,MATCH(C792,'Produtos'!$A$5:$A$204,0)),"Código não cadastrado"))</f>
        <v/>
      </c>
      <c r="E792" s="58" t="n"/>
      <c r="F792" s="61" t="n"/>
      <c r="G792" s="59" t="n"/>
      <c r="H792" s="59" t="n"/>
      <c r="I792" s="67">
        <f>IF(OR(A792="",C792=""),"",IFERROR(INDEX('Produtos'!$F$5:$F$204,MATCH(C792,'Produtos'!$A$5:$A$204,0))+SUMIFS($F$5:$F$1004,$C$5:$C$1004,C792,$E$5:$E$1004,"Entrada",$A$5:$A$1004,"&lt;="&amp;A792)-SUMIFS($F$5:$F$1004,$C$5:$C$1004,C792,$E$5:$E$1004,"Saída",$A$5:$A$1004,"&lt;="&amp;A792),""))</f>
        <v/>
      </c>
      <c r="J792" s="68">
        <f>IF(A792="","",A792+ROW()/100000)</f>
        <v/>
      </c>
    </row>
    <row r="793">
      <c r="A793" s="65" t="n"/>
      <c r="B793" s="58" t="n"/>
      <c r="C793" s="58" t="n"/>
      <c r="D793" s="66">
        <f>IF(C793="","",IFERROR(INDEX('Produtos'!$B$5:$B$204,MATCH(C793,'Produtos'!$A$5:$A$204,0)),"Código não cadastrado"))</f>
        <v/>
      </c>
      <c r="E793" s="58" t="n"/>
      <c r="F793" s="61" t="n"/>
      <c r="G793" s="59" t="n"/>
      <c r="H793" s="59" t="n"/>
      <c r="I793" s="67">
        <f>IF(OR(A793="",C793=""),"",IFERROR(INDEX('Produtos'!$F$5:$F$204,MATCH(C793,'Produtos'!$A$5:$A$204,0))+SUMIFS($F$5:$F$1004,$C$5:$C$1004,C793,$E$5:$E$1004,"Entrada",$A$5:$A$1004,"&lt;="&amp;A793)-SUMIFS($F$5:$F$1004,$C$5:$C$1004,C793,$E$5:$E$1004,"Saída",$A$5:$A$1004,"&lt;="&amp;A793),""))</f>
        <v/>
      </c>
      <c r="J793" s="68">
        <f>IF(A793="","",A793+ROW()/100000)</f>
        <v/>
      </c>
    </row>
    <row r="794">
      <c r="A794" s="65" t="n"/>
      <c r="B794" s="58" t="n"/>
      <c r="C794" s="58" t="n"/>
      <c r="D794" s="66">
        <f>IF(C794="","",IFERROR(INDEX('Produtos'!$B$5:$B$204,MATCH(C794,'Produtos'!$A$5:$A$204,0)),"Código não cadastrado"))</f>
        <v/>
      </c>
      <c r="E794" s="58" t="n"/>
      <c r="F794" s="61" t="n"/>
      <c r="G794" s="59" t="n"/>
      <c r="H794" s="59" t="n"/>
      <c r="I794" s="67">
        <f>IF(OR(A794="",C794=""),"",IFERROR(INDEX('Produtos'!$F$5:$F$204,MATCH(C794,'Produtos'!$A$5:$A$204,0))+SUMIFS($F$5:$F$1004,$C$5:$C$1004,C794,$E$5:$E$1004,"Entrada",$A$5:$A$1004,"&lt;="&amp;A794)-SUMIFS($F$5:$F$1004,$C$5:$C$1004,C794,$E$5:$E$1004,"Saída",$A$5:$A$1004,"&lt;="&amp;A794),""))</f>
        <v/>
      </c>
      <c r="J794" s="68">
        <f>IF(A794="","",A794+ROW()/100000)</f>
        <v/>
      </c>
    </row>
    <row r="795">
      <c r="A795" s="65" t="n"/>
      <c r="B795" s="58" t="n"/>
      <c r="C795" s="58" t="n"/>
      <c r="D795" s="66">
        <f>IF(C795="","",IFERROR(INDEX('Produtos'!$B$5:$B$204,MATCH(C795,'Produtos'!$A$5:$A$204,0)),"Código não cadastrado"))</f>
        <v/>
      </c>
      <c r="E795" s="58" t="n"/>
      <c r="F795" s="61" t="n"/>
      <c r="G795" s="59" t="n"/>
      <c r="H795" s="59" t="n"/>
      <c r="I795" s="67">
        <f>IF(OR(A795="",C795=""),"",IFERROR(INDEX('Produtos'!$F$5:$F$204,MATCH(C795,'Produtos'!$A$5:$A$204,0))+SUMIFS($F$5:$F$1004,$C$5:$C$1004,C795,$E$5:$E$1004,"Entrada",$A$5:$A$1004,"&lt;="&amp;A795)-SUMIFS($F$5:$F$1004,$C$5:$C$1004,C795,$E$5:$E$1004,"Saída",$A$5:$A$1004,"&lt;="&amp;A795),""))</f>
        <v/>
      </c>
      <c r="J795" s="68">
        <f>IF(A795="","",A795+ROW()/100000)</f>
        <v/>
      </c>
    </row>
    <row r="796">
      <c r="A796" s="65" t="n"/>
      <c r="B796" s="58" t="n"/>
      <c r="C796" s="58" t="n"/>
      <c r="D796" s="66">
        <f>IF(C796="","",IFERROR(INDEX('Produtos'!$B$5:$B$204,MATCH(C796,'Produtos'!$A$5:$A$204,0)),"Código não cadastrado"))</f>
        <v/>
      </c>
      <c r="E796" s="58" t="n"/>
      <c r="F796" s="61" t="n"/>
      <c r="G796" s="59" t="n"/>
      <c r="H796" s="59" t="n"/>
      <c r="I796" s="67">
        <f>IF(OR(A796="",C796=""),"",IFERROR(INDEX('Produtos'!$F$5:$F$204,MATCH(C796,'Produtos'!$A$5:$A$204,0))+SUMIFS($F$5:$F$1004,$C$5:$C$1004,C796,$E$5:$E$1004,"Entrada",$A$5:$A$1004,"&lt;="&amp;A796)-SUMIFS($F$5:$F$1004,$C$5:$C$1004,C796,$E$5:$E$1004,"Saída",$A$5:$A$1004,"&lt;="&amp;A796),""))</f>
        <v/>
      </c>
      <c r="J796" s="68">
        <f>IF(A796="","",A796+ROW()/100000)</f>
        <v/>
      </c>
    </row>
    <row r="797">
      <c r="A797" s="65" t="n"/>
      <c r="B797" s="58" t="n"/>
      <c r="C797" s="58" t="n"/>
      <c r="D797" s="66">
        <f>IF(C797="","",IFERROR(INDEX('Produtos'!$B$5:$B$204,MATCH(C797,'Produtos'!$A$5:$A$204,0)),"Código não cadastrado"))</f>
        <v/>
      </c>
      <c r="E797" s="58" t="n"/>
      <c r="F797" s="61" t="n"/>
      <c r="G797" s="59" t="n"/>
      <c r="H797" s="59" t="n"/>
      <c r="I797" s="67">
        <f>IF(OR(A797="",C797=""),"",IFERROR(INDEX('Produtos'!$F$5:$F$204,MATCH(C797,'Produtos'!$A$5:$A$204,0))+SUMIFS($F$5:$F$1004,$C$5:$C$1004,C797,$E$5:$E$1004,"Entrada",$A$5:$A$1004,"&lt;="&amp;A797)-SUMIFS($F$5:$F$1004,$C$5:$C$1004,C797,$E$5:$E$1004,"Saída",$A$5:$A$1004,"&lt;="&amp;A797),""))</f>
        <v/>
      </c>
      <c r="J797" s="68">
        <f>IF(A797="","",A797+ROW()/100000)</f>
        <v/>
      </c>
    </row>
    <row r="798">
      <c r="A798" s="65" t="n"/>
      <c r="B798" s="58" t="n"/>
      <c r="C798" s="58" t="n"/>
      <c r="D798" s="66">
        <f>IF(C798="","",IFERROR(INDEX('Produtos'!$B$5:$B$204,MATCH(C798,'Produtos'!$A$5:$A$204,0)),"Código não cadastrado"))</f>
        <v/>
      </c>
      <c r="E798" s="58" t="n"/>
      <c r="F798" s="61" t="n"/>
      <c r="G798" s="59" t="n"/>
      <c r="H798" s="59" t="n"/>
      <c r="I798" s="67">
        <f>IF(OR(A798="",C798=""),"",IFERROR(INDEX('Produtos'!$F$5:$F$204,MATCH(C798,'Produtos'!$A$5:$A$204,0))+SUMIFS($F$5:$F$1004,$C$5:$C$1004,C798,$E$5:$E$1004,"Entrada",$A$5:$A$1004,"&lt;="&amp;A798)-SUMIFS($F$5:$F$1004,$C$5:$C$1004,C798,$E$5:$E$1004,"Saída",$A$5:$A$1004,"&lt;="&amp;A798),""))</f>
        <v/>
      </c>
      <c r="J798" s="68">
        <f>IF(A798="","",A798+ROW()/100000)</f>
        <v/>
      </c>
    </row>
    <row r="799">
      <c r="A799" s="65" t="n"/>
      <c r="B799" s="58" t="n"/>
      <c r="C799" s="58" t="n"/>
      <c r="D799" s="66">
        <f>IF(C799="","",IFERROR(INDEX('Produtos'!$B$5:$B$204,MATCH(C799,'Produtos'!$A$5:$A$204,0)),"Código não cadastrado"))</f>
        <v/>
      </c>
      <c r="E799" s="58" t="n"/>
      <c r="F799" s="61" t="n"/>
      <c r="G799" s="59" t="n"/>
      <c r="H799" s="59" t="n"/>
      <c r="I799" s="67">
        <f>IF(OR(A799="",C799=""),"",IFERROR(INDEX('Produtos'!$F$5:$F$204,MATCH(C799,'Produtos'!$A$5:$A$204,0))+SUMIFS($F$5:$F$1004,$C$5:$C$1004,C799,$E$5:$E$1004,"Entrada",$A$5:$A$1004,"&lt;="&amp;A799)-SUMIFS($F$5:$F$1004,$C$5:$C$1004,C799,$E$5:$E$1004,"Saída",$A$5:$A$1004,"&lt;="&amp;A799),""))</f>
        <v/>
      </c>
      <c r="J799" s="68">
        <f>IF(A799="","",A799+ROW()/100000)</f>
        <v/>
      </c>
    </row>
    <row r="800">
      <c r="A800" s="65" t="n"/>
      <c r="B800" s="58" t="n"/>
      <c r="C800" s="58" t="n"/>
      <c r="D800" s="66">
        <f>IF(C800="","",IFERROR(INDEX('Produtos'!$B$5:$B$204,MATCH(C800,'Produtos'!$A$5:$A$204,0)),"Código não cadastrado"))</f>
        <v/>
      </c>
      <c r="E800" s="58" t="n"/>
      <c r="F800" s="61" t="n"/>
      <c r="G800" s="59" t="n"/>
      <c r="H800" s="59" t="n"/>
      <c r="I800" s="67">
        <f>IF(OR(A800="",C800=""),"",IFERROR(INDEX('Produtos'!$F$5:$F$204,MATCH(C800,'Produtos'!$A$5:$A$204,0))+SUMIFS($F$5:$F$1004,$C$5:$C$1004,C800,$E$5:$E$1004,"Entrada",$A$5:$A$1004,"&lt;="&amp;A800)-SUMIFS($F$5:$F$1004,$C$5:$C$1004,C800,$E$5:$E$1004,"Saída",$A$5:$A$1004,"&lt;="&amp;A800),""))</f>
        <v/>
      </c>
      <c r="J800" s="68">
        <f>IF(A800="","",A800+ROW()/100000)</f>
        <v/>
      </c>
    </row>
    <row r="801">
      <c r="A801" s="65" t="n"/>
      <c r="B801" s="58" t="n"/>
      <c r="C801" s="58" t="n"/>
      <c r="D801" s="66">
        <f>IF(C801="","",IFERROR(INDEX('Produtos'!$B$5:$B$204,MATCH(C801,'Produtos'!$A$5:$A$204,0)),"Código não cadastrado"))</f>
        <v/>
      </c>
      <c r="E801" s="58" t="n"/>
      <c r="F801" s="61" t="n"/>
      <c r="G801" s="59" t="n"/>
      <c r="H801" s="59" t="n"/>
      <c r="I801" s="67">
        <f>IF(OR(A801="",C801=""),"",IFERROR(INDEX('Produtos'!$F$5:$F$204,MATCH(C801,'Produtos'!$A$5:$A$204,0))+SUMIFS($F$5:$F$1004,$C$5:$C$1004,C801,$E$5:$E$1004,"Entrada",$A$5:$A$1004,"&lt;="&amp;A801)-SUMIFS($F$5:$F$1004,$C$5:$C$1004,C801,$E$5:$E$1004,"Saída",$A$5:$A$1004,"&lt;="&amp;A801),""))</f>
        <v/>
      </c>
      <c r="J801" s="68">
        <f>IF(A801="","",A801+ROW()/100000)</f>
        <v/>
      </c>
    </row>
    <row r="802">
      <c r="A802" s="65" t="n"/>
      <c r="B802" s="58" t="n"/>
      <c r="C802" s="58" t="n"/>
      <c r="D802" s="66">
        <f>IF(C802="","",IFERROR(INDEX('Produtos'!$B$5:$B$204,MATCH(C802,'Produtos'!$A$5:$A$204,0)),"Código não cadastrado"))</f>
        <v/>
      </c>
      <c r="E802" s="58" t="n"/>
      <c r="F802" s="61" t="n"/>
      <c r="G802" s="59" t="n"/>
      <c r="H802" s="59" t="n"/>
      <c r="I802" s="67">
        <f>IF(OR(A802="",C802=""),"",IFERROR(INDEX('Produtos'!$F$5:$F$204,MATCH(C802,'Produtos'!$A$5:$A$204,0))+SUMIFS($F$5:$F$1004,$C$5:$C$1004,C802,$E$5:$E$1004,"Entrada",$A$5:$A$1004,"&lt;="&amp;A802)-SUMIFS($F$5:$F$1004,$C$5:$C$1004,C802,$E$5:$E$1004,"Saída",$A$5:$A$1004,"&lt;="&amp;A802),""))</f>
        <v/>
      </c>
      <c r="J802" s="68">
        <f>IF(A802="","",A802+ROW()/100000)</f>
        <v/>
      </c>
    </row>
    <row r="803">
      <c r="A803" s="65" t="n"/>
      <c r="B803" s="58" t="n"/>
      <c r="C803" s="58" t="n"/>
      <c r="D803" s="66">
        <f>IF(C803="","",IFERROR(INDEX('Produtos'!$B$5:$B$204,MATCH(C803,'Produtos'!$A$5:$A$204,0)),"Código não cadastrado"))</f>
        <v/>
      </c>
      <c r="E803" s="58" t="n"/>
      <c r="F803" s="61" t="n"/>
      <c r="G803" s="59" t="n"/>
      <c r="H803" s="59" t="n"/>
      <c r="I803" s="67">
        <f>IF(OR(A803="",C803=""),"",IFERROR(INDEX('Produtos'!$F$5:$F$204,MATCH(C803,'Produtos'!$A$5:$A$204,0))+SUMIFS($F$5:$F$1004,$C$5:$C$1004,C803,$E$5:$E$1004,"Entrada",$A$5:$A$1004,"&lt;="&amp;A803)-SUMIFS($F$5:$F$1004,$C$5:$C$1004,C803,$E$5:$E$1004,"Saída",$A$5:$A$1004,"&lt;="&amp;A803),""))</f>
        <v/>
      </c>
      <c r="J803" s="68">
        <f>IF(A803="","",A803+ROW()/100000)</f>
        <v/>
      </c>
    </row>
    <row r="804">
      <c r="A804" s="65" t="n"/>
      <c r="B804" s="58" t="n"/>
      <c r="C804" s="58" t="n"/>
      <c r="D804" s="66">
        <f>IF(C804="","",IFERROR(INDEX('Produtos'!$B$5:$B$204,MATCH(C804,'Produtos'!$A$5:$A$204,0)),"Código não cadastrado"))</f>
        <v/>
      </c>
      <c r="E804" s="58" t="n"/>
      <c r="F804" s="61" t="n"/>
      <c r="G804" s="59" t="n"/>
      <c r="H804" s="59" t="n"/>
      <c r="I804" s="67">
        <f>IF(OR(A804="",C804=""),"",IFERROR(INDEX('Produtos'!$F$5:$F$204,MATCH(C804,'Produtos'!$A$5:$A$204,0))+SUMIFS($F$5:$F$1004,$C$5:$C$1004,C804,$E$5:$E$1004,"Entrada",$A$5:$A$1004,"&lt;="&amp;A804)-SUMIFS($F$5:$F$1004,$C$5:$C$1004,C804,$E$5:$E$1004,"Saída",$A$5:$A$1004,"&lt;="&amp;A804),""))</f>
        <v/>
      </c>
      <c r="J804" s="68">
        <f>IF(A804="","",A804+ROW()/100000)</f>
        <v/>
      </c>
    </row>
    <row r="805">
      <c r="A805" s="65" t="n"/>
      <c r="B805" s="58" t="n"/>
      <c r="C805" s="58" t="n"/>
      <c r="D805" s="66">
        <f>IF(C805="","",IFERROR(INDEX('Produtos'!$B$5:$B$204,MATCH(C805,'Produtos'!$A$5:$A$204,0)),"Código não cadastrado"))</f>
        <v/>
      </c>
      <c r="E805" s="58" t="n"/>
      <c r="F805" s="61" t="n"/>
      <c r="G805" s="59" t="n"/>
      <c r="H805" s="59" t="n"/>
      <c r="I805" s="67">
        <f>IF(OR(A805="",C805=""),"",IFERROR(INDEX('Produtos'!$F$5:$F$204,MATCH(C805,'Produtos'!$A$5:$A$204,0))+SUMIFS($F$5:$F$1004,$C$5:$C$1004,C805,$E$5:$E$1004,"Entrada",$A$5:$A$1004,"&lt;="&amp;A805)-SUMIFS($F$5:$F$1004,$C$5:$C$1004,C805,$E$5:$E$1004,"Saída",$A$5:$A$1004,"&lt;="&amp;A805),""))</f>
        <v/>
      </c>
      <c r="J805" s="68">
        <f>IF(A805="","",A805+ROW()/100000)</f>
        <v/>
      </c>
    </row>
    <row r="806">
      <c r="A806" s="65" t="n"/>
      <c r="B806" s="58" t="n"/>
      <c r="C806" s="58" t="n"/>
      <c r="D806" s="66">
        <f>IF(C806="","",IFERROR(INDEX('Produtos'!$B$5:$B$204,MATCH(C806,'Produtos'!$A$5:$A$204,0)),"Código não cadastrado"))</f>
        <v/>
      </c>
      <c r="E806" s="58" t="n"/>
      <c r="F806" s="61" t="n"/>
      <c r="G806" s="59" t="n"/>
      <c r="H806" s="59" t="n"/>
      <c r="I806" s="67">
        <f>IF(OR(A806="",C806=""),"",IFERROR(INDEX('Produtos'!$F$5:$F$204,MATCH(C806,'Produtos'!$A$5:$A$204,0))+SUMIFS($F$5:$F$1004,$C$5:$C$1004,C806,$E$5:$E$1004,"Entrada",$A$5:$A$1004,"&lt;="&amp;A806)-SUMIFS($F$5:$F$1004,$C$5:$C$1004,C806,$E$5:$E$1004,"Saída",$A$5:$A$1004,"&lt;="&amp;A806),""))</f>
        <v/>
      </c>
      <c r="J806" s="68">
        <f>IF(A806="","",A806+ROW()/100000)</f>
        <v/>
      </c>
    </row>
    <row r="807">
      <c r="A807" s="65" t="n"/>
      <c r="B807" s="58" t="n"/>
      <c r="C807" s="58" t="n"/>
      <c r="D807" s="66">
        <f>IF(C807="","",IFERROR(INDEX('Produtos'!$B$5:$B$204,MATCH(C807,'Produtos'!$A$5:$A$204,0)),"Código não cadastrado"))</f>
        <v/>
      </c>
      <c r="E807" s="58" t="n"/>
      <c r="F807" s="61" t="n"/>
      <c r="G807" s="59" t="n"/>
      <c r="H807" s="59" t="n"/>
      <c r="I807" s="67">
        <f>IF(OR(A807="",C807=""),"",IFERROR(INDEX('Produtos'!$F$5:$F$204,MATCH(C807,'Produtos'!$A$5:$A$204,0))+SUMIFS($F$5:$F$1004,$C$5:$C$1004,C807,$E$5:$E$1004,"Entrada",$A$5:$A$1004,"&lt;="&amp;A807)-SUMIFS($F$5:$F$1004,$C$5:$C$1004,C807,$E$5:$E$1004,"Saída",$A$5:$A$1004,"&lt;="&amp;A807),""))</f>
        <v/>
      </c>
      <c r="J807" s="68">
        <f>IF(A807="","",A807+ROW()/100000)</f>
        <v/>
      </c>
    </row>
    <row r="808">
      <c r="A808" s="65" t="n"/>
      <c r="B808" s="58" t="n"/>
      <c r="C808" s="58" t="n"/>
      <c r="D808" s="66">
        <f>IF(C808="","",IFERROR(INDEX('Produtos'!$B$5:$B$204,MATCH(C808,'Produtos'!$A$5:$A$204,0)),"Código não cadastrado"))</f>
        <v/>
      </c>
      <c r="E808" s="58" t="n"/>
      <c r="F808" s="61" t="n"/>
      <c r="G808" s="59" t="n"/>
      <c r="H808" s="59" t="n"/>
      <c r="I808" s="67">
        <f>IF(OR(A808="",C808=""),"",IFERROR(INDEX('Produtos'!$F$5:$F$204,MATCH(C808,'Produtos'!$A$5:$A$204,0))+SUMIFS($F$5:$F$1004,$C$5:$C$1004,C808,$E$5:$E$1004,"Entrada",$A$5:$A$1004,"&lt;="&amp;A808)-SUMIFS($F$5:$F$1004,$C$5:$C$1004,C808,$E$5:$E$1004,"Saída",$A$5:$A$1004,"&lt;="&amp;A808),""))</f>
        <v/>
      </c>
      <c r="J808" s="68">
        <f>IF(A808="","",A808+ROW()/100000)</f>
        <v/>
      </c>
    </row>
    <row r="809">
      <c r="A809" s="65" t="n"/>
      <c r="B809" s="58" t="n"/>
      <c r="C809" s="58" t="n"/>
      <c r="D809" s="66">
        <f>IF(C809="","",IFERROR(INDEX('Produtos'!$B$5:$B$204,MATCH(C809,'Produtos'!$A$5:$A$204,0)),"Código não cadastrado"))</f>
        <v/>
      </c>
      <c r="E809" s="58" t="n"/>
      <c r="F809" s="61" t="n"/>
      <c r="G809" s="59" t="n"/>
      <c r="H809" s="59" t="n"/>
      <c r="I809" s="67">
        <f>IF(OR(A809="",C809=""),"",IFERROR(INDEX('Produtos'!$F$5:$F$204,MATCH(C809,'Produtos'!$A$5:$A$204,0))+SUMIFS($F$5:$F$1004,$C$5:$C$1004,C809,$E$5:$E$1004,"Entrada",$A$5:$A$1004,"&lt;="&amp;A809)-SUMIFS($F$5:$F$1004,$C$5:$C$1004,C809,$E$5:$E$1004,"Saída",$A$5:$A$1004,"&lt;="&amp;A809),""))</f>
        <v/>
      </c>
      <c r="J809" s="68">
        <f>IF(A809="","",A809+ROW()/100000)</f>
        <v/>
      </c>
    </row>
    <row r="810">
      <c r="A810" s="65" t="n"/>
      <c r="B810" s="58" t="n"/>
      <c r="C810" s="58" t="n"/>
      <c r="D810" s="66">
        <f>IF(C810="","",IFERROR(INDEX('Produtos'!$B$5:$B$204,MATCH(C810,'Produtos'!$A$5:$A$204,0)),"Código não cadastrado"))</f>
        <v/>
      </c>
      <c r="E810" s="58" t="n"/>
      <c r="F810" s="61" t="n"/>
      <c r="G810" s="59" t="n"/>
      <c r="H810" s="59" t="n"/>
      <c r="I810" s="67">
        <f>IF(OR(A810="",C810=""),"",IFERROR(INDEX('Produtos'!$F$5:$F$204,MATCH(C810,'Produtos'!$A$5:$A$204,0))+SUMIFS($F$5:$F$1004,$C$5:$C$1004,C810,$E$5:$E$1004,"Entrada",$A$5:$A$1004,"&lt;="&amp;A810)-SUMIFS($F$5:$F$1004,$C$5:$C$1004,C810,$E$5:$E$1004,"Saída",$A$5:$A$1004,"&lt;="&amp;A810),""))</f>
        <v/>
      </c>
      <c r="J810" s="68">
        <f>IF(A810="","",A810+ROW()/100000)</f>
        <v/>
      </c>
    </row>
    <row r="811">
      <c r="A811" s="65" t="n"/>
      <c r="B811" s="58" t="n"/>
      <c r="C811" s="58" t="n"/>
      <c r="D811" s="66">
        <f>IF(C811="","",IFERROR(INDEX('Produtos'!$B$5:$B$204,MATCH(C811,'Produtos'!$A$5:$A$204,0)),"Código não cadastrado"))</f>
        <v/>
      </c>
      <c r="E811" s="58" t="n"/>
      <c r="F811" s="61" t="n"/>
      <c r="G811" s="59" t="n"/>
      <c r="H811" s="59" t="n"/>
      <c r="I811" s="67">
        <f>IF(OR(A811="",C811=""),"",IFERROR(INDEX('Produtos'!$F$5:$F$204,MATCH(C811,'Produtos'!$A$5:$A$204,0))+SUMIFS($F$5:$F$1004,$C$5:$C$1004,C811,$E$5:$E$1004,"Entrada",$A$5:$A$1004,"&lt;="&amp;A811)-SUMIFS($F$5:$F$1004,$C$5:$C$1004,C811,$E$5:$E$1004,"Saída",$A$5:$A$1004,"&lt;="&amp;A811),""))</f>
        <v/>
      </c>
      <c r="J811" s="68">
        <f>IF(A811="","",A811+ROW()/100000)</f>
        <v/>
      </c>
    </row>
    <row r="812">
      <c r="A812" s="65" t="n"/>
      <c r="B812" s="58" t="n"/>
      <c r="C812" s="58" t="n"/>
      <c r="D812" s="66">
        <f>IF(C812="","",IFERROR(INDEX('Produtos'!$B$5:$B$204,MATCH(C812,'Produtos'!$A$5:$A$204,0)),"Código não cadastrado"))</f>
        <v/>
      </c>
      <c r="E812" s="58" t="n"/>
      <c r="F812" s="61" t="n"/>
      <c r="G812" s="59" t="n"/>
      <c r="H812" s="59" t="n"/>
      <c r="I812" s="67">
        <f>IF(OR(A812="",C812=""),"",IFERROR(INDEX('Produtos'!$F$5:$F$204,MATCH(C812,'Produtos'!$A$5:$A$204,0))+SUMIFS($F$5:$F$1004,$C$5:$C$1004,C812,$E$5:$E$1004,"Entrada",$A$5:$A$1004,"&lt;="&amp;A812)-SUMIFS($F$5:$F$1004,$C$5:$C$1004,C812,$E$5:$E$1004,"Saída",$A$5:$A$1004,"&lt;="&amp;A812),""))</f>
        <v/>
      </c>
      <c r="J812" s="68">
        <f>IF(A812="","",A812+ROW()/100000)</f>
        <v/>
      </c>
    </row>
    <row r="813">
      <c r="A813" s="65" t="n"/>
      <c r="B813" s="58" t="n"/>
      <c r="C813" s="58" t="n"/>
      <c r="D813" s="66">
        <f>IF(C813="","",IFERROR(INDEX('Produtos'!$B$5:$B$204,MATCH(C813,'Produtos'!$A$5:$A$204,0)),"Código não cadastrado"))</f>
        <v/>
      </c>
      <c r="E813" s="58" t="n"/>
      <c r="F813" s="61" t="n"/>
      <c r="G813" s="59" t="n"/>
      <c r="H813" s="59" t="n"/>
      <c r="I813" s="67">
        <f>IF(OR(A813="",C813=""),"",IFERROR(INDEX('Produtos'!$F$5:$F$204,MATCH(C813,'Produtos'!$A$5:$A$204,0))+SUMIFS($F$5:$F$1004,$C$5:$C$1004,C813,$E$5:$E$1004,"Entrada",$A$5:$A$1004,"&lt;="&amp;A813)-SUMIFS($F$5:$F$1004,$C$5:$C$1004,C813,$E$5:$E$1004,"Saída",$A$5:$A$1004,"&lt;="&amp;A813),""))</f>
        <v/>
      </c>
      <c r="J813" s="68">
        <f>IF(A813="","",A813+ROW()/100000)</f>
        <v/>
      </c>
    </row>
    <row r="814">
      <c r="A814" s="65" t="n"/>
      <c r="B814" s="58" t="n"/>
      <c r="C814" s="58" t="n"/>
      <c r="D814" s="66">
        <f>IF(C814="","",IFERROR(INDEX('Produtos'!$B$5:$B$204,MATCH(C814,'Produtos'!$A$5:$A$204,0)),"Código não cadastrado"))</f>
        <v/>
      </c>
      <c r="E814" s="58" t="n"/>
      <c r="F814" s="61" t="n"/>
      <c r="G814" s="59" t="n"/>
      <c r="H814" s="59" t="n"/>
      <c r="I814" s="67">
        <f>IF(OR(A814="",C814=""),"",IFERROR(INDEX('Produtos'!$F$5:$F$204,MATCH(C814,'Produtos'!$A$5:$A$204,0))+SUMIFS($F$5:$F$1004,$C$5:$C$1004,C814,$E$5:$E$1004,"Entrada",$A$5:$A$1004,"&lt;="&amp;A814)-SUMIFS($F$5:$F$1004,$C$5:$C$1004,C814,$E$5:$E$1004,"Saída",$A$5:$A$1004,"&lt;="&amp;A814),""))</f>
        <v/>
      </c>
      <c r="J814" s="68">
        <f>IF(A814="","",A814+ROW()/100000)</f>
        <v/>
      </c>
    </row>
    <row r="815">
      <c r="A815" s="65" t="n"/>
      <c r="B815" s="58" t="n"/>
      <c r="C815" s="58" t="n"/>
      <c r="D815" s="66">
        <f>IF(C815="","",IFERROR(INDEX('Produtos'!$B$5:$B$204,MATCH(C815,'Produtos'!$A$5:$A$204,0)),"Código não cadastrado"))</f>
        <v/>
      </c>
      <c r="E815" s="58" t="n"/>
      <c r="F815" s="61" t="n"/>
      <c r="G815" s="59" t="n"/>
      <c r="H815" s="59" t="n"/>
      <c r="I815" s="67">
        <f>IF(OR(A815="",C815=""),"",IFERROR(INDEX('Produtos'!$F$5:$F$204,MATCH(C815,'Produtos'!$A$5:$A$204,0))+SUMIFS($F$5:$F$1004,$C$5:$C$1004,C815,$E$5:$E$1004,"Entrada",$A$5:$A$1004,"&lt;="&amp;A815)-SUMIFS($F$5:$F$1004,$C$5:$C$1004,C815,$E$5:$E$1004,"Saída",$A$5:$A$1004,"&lt;="&amp;A815),""))</f>
        <v/>
      </c>
      <c r="J815" s="68">
        <f>IF(A815="","",A815+ROW()/100000)</f>
        <v/>
      </c>
    </row>
    <row r="816">
      <c r="A816" s="65" t="n"/>
      <c r="B816" s="58" t="n"/>
      <c r="C816" s="58" t="n"/>
      <c r="D816" s="66">
        <f>IF(C816="","",IFERROR(INDEX('Produtos'!$B$5:$B$204,MATCH(C816,'Produtos'!$A$5:$A$204,0)),"Código não cadastrado"))</f>
        <v/>
      </c>
      <c r="E816" s="58" t="n"/>
      <c r="F816" s="61" t="n"/>
      <c r="G816" s="59" t="n"/>
      <c r="H816" s="59" t="n"/>
      <c r="I816" s="67">
        <f>IF(OR(A816="",C816=""),"",IFERROR(INDEX('Produtos'!$F$5:$F$204,MATCH(C816,'Produtos'!$A$5:$A$204,0))+SUMIFS($F$5:$F$1004,$C$5:$C$1004,C816,$E$5:$E$1004,"Entrada",$A$5:$A$1004,"&lt;="&amp;A816)-SUMIFS($F$5:$F$1004,$C$5:$C$1004,C816,$E$5:$E$1004,"Saída",$A$5:$A$1004,"&lt;="&amp;A816),""))</f>
        <v/>
      </c>
      <c r="J816" s="68">
        <f>IF(A816="","",A816+ROW()/100000)</f>
        <v/>
      </c>
    </row>
    <row r="817">
      <c r="A817" s="65" t="n"/>
      <c r="B817" s="58" t="n"/>
      <c r="C817" s="58" t="n"/>
      <c r="D817" s="66">
        <f>IF(C817="","",IFERROR(INDEX('Produtos'!$B$5:$B$204,MATCH(C817,'Produtos'!$A$5:$A$204,0)),"Código não cadastrado"))</f>
        <v/>
      </c>
      <c r="E817" s="58" t="n"/>
      <c r="F817" s="61" t="n"/>
      <c r="G817" s="59" t="n"/>
      <c r="H817" s="59" t="n"/>
      <c r="I817" s="67">
        <f>IF(OR(A817="",C817=""),"",IFERROR(INDEX('Produtos'!$F$5:$F$204,MATCH(C817,'Produtos'!$A$5:$A$204,0))+SUMIFS($F$5:$F$1004,$C$5:$C$1004,C817,$E$5:$E$1004,"Entrada",$A$5:$A$1004,"&lt;="&amp;A817)-SUMIFS($F$5:$F$1004,$C$5:$C$1004,C817,$E$5:$E$1004,"Saída",$A$5:$A$1004,"&lt;="&amp;A817),""))</f>
        <v/>
      </c>
      <c r="J817" s="68">
        <f>IF(A817="","",A817+ROW()/100000)</f>
        <v/>
      </c>
    </row>
    <row r="818">
      <c r="A818" s="65" t="n"/>
      <c r="B818" s="58" t="n"/>
      <c r="C818" s="58" t="n"/>
      <c r="D818" s="66">
        <f>IF(C818="","",IFERROR(INDEX('Produtos'!$B$5:$B$204,MATCH(C818,'Produtos'!$A$5:$A$204,0)),"Código não cadastrado"))</f>
        <v/>
      </c>
      <c r="E818" s="58" t="n"/>
      <c r="F818" s="61" t="n"/>
      <c r="G818" s="59" t="n"/>
      <c r="H818" s="59" t="n"/>
      <c r="I818" s="67">
        <f>IF(OR(A818="",C818=""),"",IFERROR(INDEX('Produtos'!$F$5:$F$204,MATCH(C818,'Produtos'!$A$5:$A$204,0))+SUMIFS($F$5:$F$1004,$C$5:$C$1004,C818,$E$5:$E$1004,"Entrada",$A$5:$A$1004,"&lt;="&amp;A818)-SUMIFS($F$5:$F$1004,$C$5:$C$1004,C818,$E$5:$E$1004,"Saída",$A$5:$A$1004,"&lt;="&amp;A818),""))</f>
        <v/>
      </c>
      <c r="J818" s="68">
        <f>IF(A818="","",A818+ROW()/100000)</f>
        <v/>
      </c>
    </row>
    <row r="819">
      <c r="A819" s="65" t="n"/>
      <c r="B819" s="58" t="n"/>
      <c r="C819" s="58" t="n"/>
      <c r="D819" s="66">
        <f>IF(C819="","",IFERROR(INDEX('Produtos'!$B$5:$B$204,MATCH(C819,'Produtos'!$A$5:$A$204,0)),"Código não cadastrado"))</f>
        <v/>
      </c>
      <c r="E819" s="58" t="n"/>
      <c r="F819" s="61" t="n"/>
      <c r="G819" s="59" t="n"/>
      <c r="H819" s="59" t="n"/>
      <c r="I819" s="67">
        <f>IF(OR(A819="",C819=""),"",IFERROR(INDEX('Produtos'!$F$5:$F$204,MATCH(C819,'Produtos'!$A$5:$A$204,0))+SUMIFS($F$5:$F$1004,$C$5:$C$1004,C819,$E$5:$E$1004,"Entrada",$A$5:$A$1004,"&lt;="&amp;A819)-SUMIFS($F$5:$F$1004,$C$5:$C$1004,C819,$E$5:$E$1004,"Saída",$A$5:$A$1004,"&lt;="&amp;A819),""))</f>
        <v/>
      </c>
      <c r="J819" s="68">
        <f>IF(A819="","",A819+ROW()/100000)</f>
        <v/>
      </c>
    </row>
    <row r="820">
      <c r="A820" s="65" t="n"/>
      <c r="B820" s="58" t="n"/>
      <c r="C820" s="58" t="n"/>
      <c r="D820" s="66">
        <f>IF(C820="","",IFERROR(INDEX('Produtos'!$B$5:$B$204,MATCH(C820,'Produtos'!$A$5:$A$204,0)),"Código não cadastrado"))</f>
        <v/>
      </c>
      <c r="E820" s="58" t="n"/>
      <c r="F820" s="61" t="n"/>
      <c r="G820" s="59" t="n"/>
      <c r="H820" s="59" t="n"/>
      <c r="I820" s="67">
        <f>IF(OR(A820="",C820=""),"",IFERROR(INDEX('Produtos'!$F$5:$F$204,MATCH(C820,'Produtos'!$A$5:$A$204,0))+SUMIFS($F$5:$F$1004,$C$5:$C$1004,C820,$E$5:$E$1004,"Entrada",$A$5:$A$1004,"&lt;="&amp;A820)-SUMIFS($F$5:$F$1004,$C$5:$C$1004,C820,$E$5:$E$1004,"Saída",$A$5:$A$1004,"&lt;="&amp;A820),""))</f>
        <v/>
      </c>
      <c r="J820" s="68">
        <f>IF(A820="","",A820+ROW()/100000)</f>
        <v/>
      </c>
    </row>
    <row r="821">
      <c r="A821" s="65" t="n"/>
      <c r="B821" s="58" t="n"/>
      <c r="C821" s="58" t="n"/>
      <c r="D821" s="66">
        <f>IF(C821="","",IFERROR(INDEX('Produtos'!$B$5:$B$204,MATCH(C821,'Produtos'!$A$5:$A$204,0)),"Código não cadastrado"))</f>
        <v/>
      </c>
      <c r="E821" s="58" t="n"/>
      <c r="F821" s="61" t="n"/>
      <c r="G821" s="59" t="n"/>
      <c r="H821" s="59" t="n"/>
      <c r="I821" s="67">
        <f>IF(OR(A821="",C821=""),"",IFERROR(INDEX('Produtos'!$F$5:$F$204,MATCH(C821,'Produtos'!$A$5:$A$204,0))+SUMIFS($F$5:$F$1004,$C$5:$C$1004,C821,$E$5:$E$1004,"Entrada",$A$5:$A$1004,"&lt;="&amp;A821)-SUMIFS($F$5:$F$1004,$C$5:$C$1004,C821,$E$5:$E$1004,"Saída",$A$5:$A$1004,"&lt;="&amp;A821),""))</f>
        <v/>
      </c>
      <c r="J821" s="68">
        <f>IF(A821="","",A821+ROW()/100000)</f>
        <v/>
      </c>
    </row>
    <row r="822">
      <c r="A822" s="65" t="n"/>
      <c r="B822" s="58" t="n"/>
      <c r="C822" s="58" t="n"/>
      <c r="D822" s="66">
        <f>IF(C822="","",IFERROR(INDEX('Produtos'!$B$5:$B$204,MATCH(C822,'Produtos'!$A$5:$A$204,0)),"Código não cadastrado"))</f>
        <v/>
      </c>
      <c r="E822" s="58" t="n"/>
      <c r="F822" s="61" t="n"/>
      <c r="G822" s="59" t="n"/>
      <c r="H822" s="59" t="n"/>
      <c r="I822" s="67">
        <f>IF(OR(A822="",C822=""),"",IFERROR(INDEX('Produtos'!$F$5:$F$204,MATCH(C822,'Produtos'!$A$5:$A$204,0))+SUMIFS($F$5:$F$1004,$C$5:$C$1004,C822,$E$5:$E$1004,"Entrada",$A$5:$A$1004,"&lt;="&amp;A822)-SUMIFS($F$5:$F$1004,$C$5:$C$1004,C822,$E$5:$E$1004,"Saída",$A$5:$A$1004,"&lt;="&amp;A822),""))</f>
        <v/>
      </c>
      <c r="J822" s="68">
        <f>IF(A822="","",A822+ROW()/100000)</f>
        <v/>
      </c>
    </row>
    <row r="823">
      <c r="A823" s="65" t="n"/>
      <c r="B823" s="58" t="n"/>
      <c r="C823" s="58" t="n"/>
      <c r="D823" s="66">
        <f>IF(C823="","",IFERROR(INDEX('Produtos'!$B$5:$B$204,MATCH(C823,'Produtos'!$A$5:$A$204,0)),"Código não cadastrado"))</f>
        <v/>
      </c>
      <c r="E823" s="58" t="n"/>
      <c r="F823" s="61" t="n"/>
      <c r="G823" s="59" t="n"/>
      <c r="H823" s="59" t="n"/>
      <c r="I823" s="67">
        <f>IF(OR(A823="",C823=""),"",IFERROR(INDEX('Produtos'!$F$5:$F$204,MATCH(C823,'Produtos'!$A$5:$A$204,0))+SUMIFS($F$5:$F$1004,$C$5:$C$1004,C823,$E$5:$E$1004,"Entrada",$A$5:$A$1004,"&lt;="&amp;A823)-SUMIFS($F$5:$F$1004,$C$5:$C$1004,C823,$E$5:$E$1004,"Saída",$A$5:$A$1004,"&lt;="&amp;A823),""))</f>
        <v/>
      </c>
      <c r="J823" s="68">
        <f>IF(A823="","",A823+ROW()/100000)</f>
        <v/>
      </c>
    </row>
    <row r="824">
      <c r="A824" s="65" t="n"/>
      <c r="B824" s="58" t="n"/>
      <c r="C824" s="58" t="n"/>
      <c r="D824" s="66">
        <f>IF(C824="","",IFERROR(INDEX('Produtos'!$B$5:$B$204,MATCH(C824,'Produtos'!$A$5:$A$204,0)),"Código não cadastrado"))</f>
        <v/>
      </c>
      <c r="E824" s="58" t="n"/>
      <c r="F824" s="61" t="n"/>
      <c r="G824" s="59" t="n"/>
      <c r="H824" s="59" t="n"/>
      <c r="I824" s="67">
        <f>IF(OR(A824="",C824=""),"",IFERROR(INDEX('Produtos'!$F$5:$F$204,MATCH(C824,'Produtos'!$A$5:$A$204,0))+SUMIFS($F$5:$F$1004,$C$5:$C$1004,C824,$E$5:$E$1004,"Entrada",$A$5:$A$1004,"&lt;="&amp;A824)-SUMIFS($F$5:$F$1004,$C$5:$C$1004,C824,$E$5:$E$1004,"Saída",$A$5:$A$1004,"&lt;="&amp;A824),""))</f>
        <v/>
      </c>
      <c r="J824" s="68">
        <f>IF(A824="","",A824+ROW()/100000)</f>
        <v/>
      </c>
    </row>
    <row r="825">
      <c r="A825" s="65" t="n"/>
      <c r="B825" s="58" t="n"/>
      <c r="C825" s="58" t="n"/>
      <c r="D825" s="66">
        <f>IF(C825="","",IFERROR(INDEX('Produtos'!$B$5:$B$204,MATCH(C825,'Produtos'!$A$5:$A$204,0)),"Código não cadastrado"))</f>
        <v/>
      </c>
      <c r="E825" s="58" t="n"/>
      <c r="F825" s="61" t="n"/>
      <c r="G825" s="59" t="n"/>
      <c r="H825" s="59" t="n"/>
      <c r="I825" s="67">
        <f>IF(OR(A825="",C825=""),"",IFERROR(INDEX('Produtos'!$F$5:$F$204,MATCH(C825,'Produtos'!$A$5:$A$204,0))+SUMIFS($F$5:$F$1004,$C$5:$C$1004,C825,$E$5:$E$1004,"Entrada",$A$5:$A$1004,"&lt;="&amp;A825)-SUMIFS($F$5:$F$1004,$C$5:$C$1004,C825,$E$5:$E$1004,"Saída",$A$5:$A$1004,"&lt;="&amp;A825),""))</f>
        <v/>
      </c>
      <c r="J825" s="68">
        <f>IF(A825="","",A825+ROW()/100000)</f>
        <v/>
      </c>
    </row>
    <row r="826">
      <c r="A826" s="65" t="n"/>
      <c r="B826" s="58" t="n"/>
      <c r="C826" s="58" t="n"/>
      <c r="D826" s="66">
        <f>IF(C826="","",IFERROR(INDEX('Produtos'!$B$5:$B$204,MATCH(C826,'Produtos'!$A$5:$A$204,0)),"Código não cadastrado"))</f>
        <v/>
      </c>
      <c r="E826" s="58" t="n"/>
      <c r="F826" s="61" t="n"/>
      <c r="G826" s="59" t="n"/>
      <c r="H826" s="59" t="n"/>
      <c r="I826" s="67">
        <f>IF(OR(A826="",C826=""),"",IFERROR(INDEX('Produtos'!$F$5:$F$204,MATCH(C826,'Produtos'!$A$5:$A$204,0))+SUMIFS($F$5:$F$1004,$C$5:$C$1004,C826,$E$5:$E$1004,"Entrada",$A$5:$A$1004,"&lt;="&amp;A826)-SUMIFS($F$5:$F$1004,$C$5:$C$1004,C826,$E$5:$E$1004,"Saída",$A$5:$A$1004,"&lt;="&amp;A826),""))</f>
        <v/>
      </c>
      <c r="J826" s="68">
        <f>IF(A826="","",A826+ROW()/100000)</f>
        <v/>
      </c>
    </row>
    <row r="827">
      <c r="A827" s="65" t="n"/>
      <c r="B827" s="58" t="n"/>
      <c r="C827" s="58" t="n"/>
      <c r="D827" s="66">
        <f>IF(C827="","",IFERROR(INDEX('Produtos'!$B$5:$B$204,MATCH(C827,'Produtos'!$A$5:$A$204,0)),"Código não cadastrado"))</f>
        <v/>
      </c>
      <c r="E827" s="58" t="n"/>
      <c r="F827" s="61" t="n"/>
      <c r="G827" s="59" t="n"/>
      <c r="H827" s="59" t="n"/>
      <c r="I827" s="67">
        <f>IF(OR(A827="",C827=""),"",IFERROR(INDEX('Produtos'!$F$5:$F$204,MATCH(C827,'Produtos'!$A$5:$A$204,0))+SUMIFS($F$5:$F$1004,$C$5:$C$1004,C827,$E$5:$E$1004,"Entrada",$A$5:$A$1004,"&lt;="&amp;A827)-SUMIFS($F$5:$F$1004,$C$5:$C$1004,C827,$E$5:$E$1004,"Saída",$A$5:$A$1004,"&lt;="&amp;A827),""))</f>
        <v/>
      </c>
      <c r="J827" s="68">
        <f>IF(A827="","",A827+ROW()/100000)</f>
        <v/>
      </c>
    </row>
    <row r="828">
      <c r="A828" s="65" t="n"/>
      <c r="B828" s="58" t="n"/>
      <c r="C828" s="58" t="n"/>
      <c r="D828" s="66">
        <f>IF(C828="","",IFERROR(INDEX('Produtos'!$B$5:$B$204,MATCH(C828,'Produtos'!$A$5:$A$204,0)),"Código não cadastrado"))</f>
        <v/>
      </c>
      <c r="E828" s="58" t="n"/>
      <c r="F828" s="61" t="n"/>
      <c r="G828" s="59" t="n"/>
      <c r="H828" s="59" t="n"/>
      <c r="I828" s="67">
        <f>IF(OR(A828="",C828=""),"",IFERROR(INDEX('Produtos'!$F$5:$F$204,MATCH(C828,'Produtos'!$A$5:$A$204,0))+SUMIFS($F$5:$F$1004,$C$5:$C$1004,C828,$E$5:$E$1004,"Entrada",$A$5:$A$1004,"&lt;="&amp;A828)-SUMIFS($F$5:$F$1004,$C$5:$C$1004,C828,$E$5:$E$1004,"Saída",$A$5:$A$1004,"&lt;="&amp;A828),""))</f>
        <v/>
      </c>
      <c r="J828" s="68">
        <f>IF(A828="","",A828+ROW()/100000)</f>
        <v/>
      </c>
    </row>
    <row r="829">
      <c r="A829" s="65" t="n"/>
      <c r="B829" s="58" t="n"/>
      <c r="C829" s="58" t="n"/>
      <c r="D829" s="66">
        <f>IF(C829="","",IFERROR(INDEX('Produtos'!$B$5:$B$204,MATCH(C829,'Produtos'!$A$5:$A$204,0)),"Código não cadastrado"))</f>
        <v/>
      </c>
      <c r="E829" s="58" t="n"/>
      <c r="F829" s="61" t="n"/>
      <c r="G829" s="59" t="n"/>
      <c r="H829" s="59" t="n"/>
      <c r="I829" s="67">
        <f>IF(OR(A829="",C829=""),"",IFERROR(INDEX('Produtos'!$F$5:$F$204,MATCH(C829,'Produtos'!$A$5:$A$204,0))+SUMIFS($F$5:$F$1004,$C$5:$C$1004,C829,$E$5:$E$1004,"Entrada",$A$5:$A$1004,"&lt;="&amp;A829)-SUMIFS($F$5:$F$1004,$C$5:$C$1004,C829,$E$5:$E$1004,"Saída",$A$5:$A$1004,"&lt;="&amp;A829),""))</f>
        <v/>
      </c>
      <c r="J829" s="68">
        <f>IF(A829="","",A829+ROW()/100000)</f>
        <v/>
      </c>
    </row>
    <row r="830">
      <c r="A830" s="65" t="n"/>
      <c r="B830" s="58" t="n"/>
      <c r="C830" s="58" t="n"/>
      <c r="D830" s="66">
        <f>IF(C830="","",IFERROR(INDEX('Produtos'!$B$5:$B$204,MATCH(C830,'Produtos'!$A$5:$A$204,0)),"Código não cadastrado"))</f>
        <v/>
      </c>
      <c r="E830" s="58" t="n"/>
      <c r="F830" s="61" t="n"/>
      <c r="G830" s="59" t="n"/>
      <c r="H830" s="59" t="n"/>
      <c r="I830" s="67">
        <f>IF(OR(A830="",C830=""),"",IFERROR(INDEX('Produtos'!$F$5:$F$204,MATCH(C830,'Produtos'!$A$5:$A$204,0))+SUMIFS($F$5:$F$1004,$C$5:$C$1004,C830,$E$5:$E$1004,"Entrada",$A$5:$A$1004,"&lt;="&amp;A830)-SUMIFS($F$5:$F$1004,$C$5:$C$1004,C830,$E$5:$E$1004,"Saída",$A$5:$A$1004,"&lt;="&amp;A830),""))</f>
        <v/>
      </c>
      <c r="J830" s="68">
        <f>IF(A830="","",A830+ROW()/100000)</f>
        <v/>
      </c>
    </row>
    <row r="831">
      <c r="A831" s="65" t="n"/>
      <c r="B831" s="58" t="n"/>
      <c r="C831" s="58" t="n"/>
      <c r="D831" s="66">
        <f>IF(C831="","",IFERROR(INDEX('Produtos'!$B$5:$B$204,MATCH(C831,'Produtos'!$A$5:$A$204,0)),"Código não cadastrado"))</f>
        <v/>
      </c>
      <c r="E831" s="58" t="n"/>
      <c r="F831" s="61" t="n"/>
      <c r="G831" s="59" t="n"/>
      <c r="H831" s="59" t="n"/>
      <c r="I831" s="67">
        <f>IF(OR(A831="",C831=""),"",IFERROR(INDEX('Produtos'!$F$5:$F$204,MATCH(C831,'Produtos'!$A$5:$A$204,0))+SUMIFS($F$5:$F$1004,$C$5:$C$1004,C831,$E$5:$E$1004,"Entrada",$A$5:$A$1004,"&lt;="&amp;A831)-SUMIFS($F$5:$F$1004,$C$5:$C$1004,C831,$E$5:$E$1004,"Saída",$A$5:$A$1004,"&lt;="&amp;A831),""))</f>
        <v/>
      </c>
      <c r="J831" s="68">
        <f>IF(A831="","",A831+ROW()/100000)</f>
        <v/>
      </c>
    </row>
    <row r="832">
      <c r="A832" s="65" t="n"/>
      <c r="B832" s="58" t="n"/>
      <c r="C832" s="58" t="n"/>
      <c r="D832" s="66">
        <f>IF(C832="","",IFERROR(INDEX('Produtos'!$B$5:$B$204,MATCH(C832,'Produtos'!$A$5:$A$204,0)),"Código não cadastrado"))</f>
        <v/>
      </c>
      <c r="E832" s="58" t="n"/>
      <c r="F832" s="61" t="n"/>
      <c r="G832" s="59" t="n"/>
      <c r="H832" s="59" t="n"/>
      <c r="I832" s="67">
        <f>IF(OR(A832="",C832=""),"",IFERROR(INDEX('Produtos'!$F$5:$F$204,MATCH(C832,'Produtos'!$A$5:$A$204,0))+SUMIFS($F$5:$F$1004,$C$5:$C$1004,C832,$E$5:$E$1004,"Entrada",$A$5:$A$1004,"&lt;="&amp;A832)-SUMIFS($F$5:$F$1004,$C$5:$C$1004,C832,$E$5:$E$1004,"Saída",$A$5:$A$1004,"&lt;="&amp;A832),""))</f>
        <v/>
      </c>
      <c r="J832" s="68">
        <f>IF(A832="","",A832+ROW()/100000)</f>
        <v/>
      </c>
    </row>
    <row r="833">
      <c r="A833" s="65" t="n"/>
      <c r="B833" s="58" t="n"/>
      <c r="C833" s="58" t="n"/>
      <c r="D833" s="66">
        <f>IF(C833="","",IFERROR(INDEX('Produtos'!$B$5:$B$204,MATCH(C833,'Produtos'!$A$5:$A$204,0)),"Código não cadastrado"))</f>
        <v/>
      </c>
      <c r="E833" s="58" t="n"/>
      <c r="F833" s="61" t="n"/>
      <c r="G833" s="59" t="n"/>
      <c r="H833" s="59" t="n"/>
      <c r="I833" s="67">
        <f>IF(OR(A833="",C833=""),"",IFERROR(INDEX('Produtos'!$F$5:$F$204,MATCH(C833,'Produtos'!$A$5:$A$204,0))+SUMIFS($F$5:$F$1004,$C$5:$C$1004,C833,$E$5:$E$1004,"Entrada",$A$5:$A$1004,"&lt;="&amp;A833)-SUMIFS($F$5:$F$1004,$C$5:$C$1004,C833,$E$5:$E$1004,"Saída",$A$5:$A$1004,"&lt;="&amp;A833),""))</f>
        <v/>
      </c>
      <c r="J833" s="68">
        <f>IF(A833="","",A833+ROW()/100000)</f>
        <v/>
      </c>
    </row>
    <row r="834">
      <c r="A834" s="65" t="n"/>
      <c r="B834" s="58" t="n"/>
      <c r="C834" s="58" t="n"/>
      <c r="D834" s="66">
        <f>IF(C834="","",IFERROR(INDEX('Produtos'!$B$5:$B$204,MATCH(C834,'Produtos'!$A$5:$A$204,0)),"Código não cadastrado"))</f>
        <v/>
      </c>
      <c r="E834" s="58" t="n"/>
      <c r="F834" s="61" t="n"/>
      <c r="G834" s="59" t="n"/>
      <c r="H834" s="59" t="n"/>
      <c r="I834" s="67">
        <f>IF(OR(A834="",C834=""),"",IFERROR(INDEX('Produtos'!$F$5:$F$204,MATCH(C834,'Produtos'!$A$5:$A$204,0))+SUMIFS($F$5:$F$1004,$C$5:$C$1004,C834,$E$5:$E$1004,"Entrada",$A$5:$A$1004,"&lt;="&amp;A834)-SUMIFS($F$5:$F$1004,$C$5:$C$1004,C834,$E$5:$E$1004,"Saída",$A$5:$A$1004,"&lt;="&amp;A834),""))</f>
        <v/>
      </c>
      <c r="J834" s="68">
        <f>IF(A834="","",A834+ROW()/100000)</f>
        <v/>
      </c>
    </row>
    <row r="835">
      <c r="A835" s="65" t="n"/>
      <c r="B835" s="58" t="n"/>
      <c r="C835" s="58" t="n"/>
      <c r="D835" s="66">
        <f>IF(C835="","",IFERROR(INDEX('Produtos'!$B$5:$B$204,MATCH(C835,'Produtos'!$A$5:$A$204,0)),"Código não cadastrado"))</f>
        <v/>
      </c>
      <c r="E835" s="58" t="n"/>
      <c r="F835" s="61" t="n"/>
      <c r="G835" s="59" t="n"/>
      <c r="H835" s="59" t="n"/>
      <c r="I835" s="67">
        <f>IF(OR(A835="",C835=""),"",IFERROR(INDEX('Produtos'!$F$5:$F$204,MATCH(C835,'Produtos'!$A$5:$A$204,0))+SUMIFS($F$5:$F$1004,$C$5:$C$1004,C835,$E$5:$E$1004,"Entrada",$A$5:$A$1004,"&lt;="&amp;A835)-SUMIFS($F$5:$F$1004,$C$5:$C$1004,C835,$E$5:$E$1004,"Saída",$A$5:$A$1004,"&lt;="&amp;A835),""))</f>
        <v/>
      </c>
      <c r="J835" s="68">
        <f>IF(A835="","",A835+ROW()/100000)</f>
        <v/>
      </c>
    </row>
    <row r="836">
      <c r="A836" s="65" t="n"/>
      <c r="B836" s="58" t="n"/>
      <c r="C836" s="58" t="n"/>
      <c r="D836" s="66">
        <f>IF(C836="","",IFERROR(INDEX('Produtos'!$B$5:$B$204,MATCH(C836,'Produtos'!$A$5:$A$204,0)),"Código não cadastrado"))</f>
        <v/>
      </c>
      <c r="E836" s="58" t="n"/>
      <c r="F836" s="61" t="n"/>
      <c r="G836" s="59" t="n"/>
      <c r="H836" s="59" t="n"/>
      <c r="I836" s="67">
        <f>IF(OR(A836="",C836=""),"",IFERROR(INDEX('Produtos'!$F$5:$F$204,MATCH(C836,'Produtos'!$A$5:$A$204,0))+SUMIFS($F$5:$F$1004,$C$5:$C$1004,C836,$E$5:$E$1004,"Entrada",$A$5:$A$1004,"&lt;="&amp;A836)-SUMIFS($F$5:$F$1004,$C$5:$C$1004,C836,$E$5:$E$1004,"Saída",$A$5:$A$1004,"&lt;="&amp;A836),""))</f>
        <v/>
      </c>
      <c r="J836" s="68">
        <f>IF(A836="","",A836+ROW()/100000)</f>
        <v/>
      </c>
    </row>
    <row r="837">
      <c r="A837" s="65" t="n"/>
      <c r="B837" s="58" t="n"/>
      <c r="C837" s="58" t="n"/>
      <c r="D837" s="66">
        <f>IF(C837="","",IFERROR(INDEX('Produtos'!$B$5:$B$204,MATCH(C837,'Produtos'!$A$5:$A$204,0)),"Código não cadastrado"))</f>
        <v/>
      </c>
      <c r="E837" s="58" t="n"/>
      <c r="F837" s="61" t="n"/>
      <c r="G837" s="59" t="n"/>
      <c r="H837" s="59" t="n"/>
      <c r="I837" s="67">
        <f>IF(OR(A837="",C837=""),"",IFERROR(INDEX('Produtos'!$F$5:$F$204,MATCH(C837,'Produtos'!$A$5:$A$204,0))+SUMIFS($F$5:$F$1004,$C$5:$C$1004,C837,$E$5:$E$1004,"Entrada",$A$5:$A$1004,"&lt;="&amp;A837)-SUMIFS($F$5:$F$1004,$C$5:$C$1004,C837,$E$5:$E$1004,"Saída",$A$5:$A$1004,"&lt;="&amp;A837),""))</f>
        <v/>
      </c>
      <c r="J837" s="68">
        <f>IF(A837="","",A837+ROW()/100000)</f>
        <v/>
      </c>
    </row>
    <row r="838">
      <c r="A838" s="65" t="n"/>
      <c r="B838" s="58" t="n"/>
      <c r="C838" s="58" t="n"/>
      <c r="D838" s="66">
        <f>IF(C838="","",IFERROR(INDEX('Produtos'!$B$5:$B$204,MATCH(C838,'Produtos'!$A$5:$A$204,0)),"Código não cadastrado"))</f>
        <v/>
      </c>
      <c r="E838" s="58" t="n"/>
      <c r="F838" s="61" t="n"/>
      <c r="G838" s="59" t="n"/>
      <c r="H838" s="59" t="n"/>
      <c r="I838" s="67">
        <f>IF(OR(A838="",C838=""),"",IFERROR(INDEX('Produtos'!$F$5:$F$204,MATCH(C838,'Produtos'!$A$5:$A$204,0))+SUMIFS($F$5:$F$1004,$C$5:$C$1004,C838,$E$5:$E$1004,"Entrada",$A$5:$A$1004,"&lt;="&amp;A838)-SUMIFS($F$5:$F$1004,$C$5:$C$1004,C838,$E$5:$E$1004,"Saída",$A$5:$A$1004,"&lt;="&amp;A838),""))</f>
        <v/>
      </c>
      <c r="J838" s="68">
        <f>IF(A838="","",A838+ROW()/100000)</f>
        <v/>
      </c>
    </row>
    <row r="839">
      <c r="A839" s="65" t="n"/>
      <c r="B839" s="58" t="n"/>
      <c r="C839" s="58" t="n"/>
      <c r="D839" s="66">
        <f>IF(C839="","",IFERROR(INDEX('Produtos'!$B$5:$B$204,MATCH(C839,'Produtos'!$A$5:$A$204,0)),"Código não cadastrado"))</f>
        <v/>
      </c>
      <c r="E839" s="58" t="n"/>
      <c r="F839" s="61" t="n"/>
      <c r="G839" s="59" t="n"/>
      <c r="H839" s="59" t="n"/>
      <c r="I839" s="67">
        <f>IF(OR(A839="",C839=""),"",IFERROR(INDEX('Produtos'!$F$5:$F$204,MATCH(C839,'Produtos'!$A$5:$A$204,0))+SUMIFS($F$5:$F$1004,$C$5:$C$1004,C839,$E$5:$E$1004,"Entrada",$A$5:$A$1004,"&lt;="&amp;A839)-SUMIFS($F$5:$F$1004,$C$5:$C$1004,C839,$E$5:$E$1004,"Saída",$A$5:$A$1004,"&lt;="&amp;A839),""))</f>
        <v/>
      </c>
      <c r="J839" s="68">
        <f>IF(A839="","",A839+ROW()/100000)</f>
        <v/>
      </c>
    </row>
    <row r="840">
      <c r="A840" s="65" t="n"/>
      <c r="B840" s="58" t="n"/>
      <c r="C840" s="58" t="n"/>
      <c r="D840" s="66">
        <f>IF(C840="","",IFERROR(INDEX('Produtos'!$B$5:$B$204,MATCH(C840,'Produtos'!$A$5:$A$204,0)),"Código não cadastrado"))</f>
        <v/>
      </c>
      <c r="E840" s="58" t="n"/>
      <c r="F840" s="61" t="n"/>
      <c r="G840" s="59" t="n"/>
      <c r="H840" s="59" t="n"/>
      <c r="I840" s="67">
        <f>IF(OR(A840="",C840=""),"",IFERROR(INDEX('Produtos'!$F$5:$F$204,MATCH(C840,'Produtos'!$A$5:$A$204,0))+SUMIFS($F$5:$F$1004,$C$5:$C$1004,C840,$E$5:$E$1004,"Entrada",$A$5:$A$1004,"&lt;="&amp;A840)-SUMIFS($F$5:$F$1004,$C$5:$C$1004,C840,$E$5:$E$1004,"Saída",$A$5:$A$1004,"&lt;="&amp;A840),""))</f>
        <v/>
      </c>
      <c r="J840" s="68">
        <f>IF(A840="","",A840+ROW()/100000)</f>
        <v/>
      </c>
    </row>
    <row r="841">
      <c r="A841" s="65" t="n"/>
      <c r="B841" s="58" t="n"/>
      <c r="C841" s="58" t="n"/>
      <c r="D841" s="66">
        <f>IF(C841="","",IFERROR(INDEX('Produtos'!$B$5:$B$204,MATCH(C841,'Produtos'!$A$5:$A$204,0)),"Código não cadastrado"))</f>
        <v/>
      </c>
      <c r="E841" s="58" t="n"/>
      <c r="F841" s="61" t="n"/>
      <c r="G841" s="59" t="n"/>
      <c r="H841" s="59" t="n"/>
      <c r="I841" s="67">
        <f>IF(OR(A841="",C841=""),"",IFERROR(INDEX('Produtos'!$F$5:$F$204,MATCH(C841,'Produtos'!$A$5:$A$204,0))+SUMIFS($F$5:$F$1004,$C$5:$C$1004,C841,$E$5:$E$1004,"Entrada",$A$5:$A$1004,"&lt;="&amp;A841)-SUMIFS($F$5:$F$1004,$C$5:$C$1004,C841,$E$5:$E$1004,"Saída",$A$5:$A$1004,"&lt;="&amp;A841),""))</f>
        <v/>
      </c>
      <c r="J841" s="68">
        <f>IF(A841="","",A841+ROW()/100000)</f>
        <v/>
      </c>
    </row>
    <row r="842">
      <c r="A842" s="65" t="n"/>
      <c r="B842" s="58" t="n"/>
      <c r="C842" s="58" t="n"/>
      <c r="D842" s="66">
        <f>IF(C842="","",IFERROR(INDEX('Produtos'!$B$5:$B$204,MATCH(C842,'Produtos'!$A$5:$A$204,0)),"Código não cadastrado"))</f>
        <v/>
      </c>
      <c r="E842" s="58" t="n"/>
      <c r="F842" s="61" t="n"/>
      <c r="G842" s="59" t="n"/>
      <c r="H842" s="59" t="n"/>
      <c r="I842" s="67">
        <f>IF(OR(A842="",C842=""),"",IFERROR(INDEX('Produtos'!$F$5:$F$204,MATCH(C842,'Produtos'!$A$5:$A$204,0))+SUMIFS($F$5:$F$1004,$C$5:$C$1004,C842,$E$5:$E$1004,"Entrada",$A$5:$A$1004,"&lt;="&amp;A842)-SUMIFS($F$5:$F$1004,$C$5:$C$1004,C842,$E$5:$E$1004,"Saída",$A$5:$A$1004,"&lt;="&amp;A842),""))</f>
        <v/>
      </c>
      <c r="J842" s="68">
        <f>IF(A842="","",A842+ROW()/100000)</f>
        <v/>
      </c>
    </row>
    <row r="843">
      <c r="A843" s="65" t="n"/>
      <c r="B843" s="58" t="n"/>
      <c r="C843" s="58" t="n"/>
      <c r="D843" s="66">
        <f>IF(C843="","",IFERROR(INDEX('Produtos'!$B$5:$B$204,MATCH(C843,'Produtos'!$A$5:$A$204,0)),"Código não cadastrado"))</f>
        <v/>
      </c>
      <c r="E843" s="58" t="n"/>
      <c r="F843" s="61" t="n"/>
      <c r="G843" s="59" t="n"/>
      <c r="H843" s="59" t="n"/>
      <c r="I843" s="67">
        <f>IF(OR(A843="",C843=""),"",IFERROR(INDEX('Produtos'!$F$5:$F$204,MATCH(C843,'Produtos'!$A$5:$A$204,0))+SUMIFS($F$5:$F$1004,$C$5:$C$1004,C843,$E$5:$E$1004,"Entrada",$A$5:$A$1004,"&lt;="&amp;A843)-SUMIFS($F$5:$F$1004,$C$5:$C$1004,C843,$E$5:$E$1004,"Saída",$A$5:$A$1004,"&lt;="&amp;A843),""))</f>
        <v/>
      </c>
      <c r="J843" s="68">
        <f>IF(A843="","",A843+ROW()/100000)</f>
        <v/>
      </c>
    </row>
    <row r="844">
      <c r="A844" s="65" t="n"/>
      <c r="B844" s="58" t="n"/>
      <c r="C844" s="58" t="n"/>
      <c r="D844" s="66">
        <f>IF(C844="","",IFERROR(INDEX('Produtos'!$B$5:$B$204,MATCH(C844,'Produtos'!$A$5:$A$204,0)),"Código não cadastrado"))</f>
        <v/>
      </c>
      <c r="E844" s="58" t="n"/>
      <c r="F844" s="61" t="n"/>
      <c r="G844" s="59" t="n"/>
      <c r="H844" s="59" t="n"/>
      <c r="I844" s="67">
        <f>IF(OR(A844="",C844=""),"",IFERROR(INDEX('Produtos'!$F$5:$F$204,MATCH(C844,'Produtos'!$A$5:$A$204,0))+SUMIFS($F$5:$F$1004,$C$5:$C$1004,C844,$E$5:$E$1004,"Entrada",$A$5:$A$1004,"&lt;="&amp;A844)-SUMIFS($F$5:$F$1004,$C$5:$C$1004,C844,$E$5:$E$1004,"Saída",$A$5:$A$1004,"&lt;="&amp;A844),""))</f>
        <v/>
      </c>
      <c r="J844" s="68">
        <f>IF(A844="","",A844+ROW()/100000)</f>
        <v/>
      </c>
    </row>
    <row r="845">
      <c r="A845" s="65" t="n"/>
      <c r="B845" s="58" t="n"/>
      <c r="C845" s="58" t="n"/>
      <c r="D845" s="66">
        <f>IF(C845="","",IFERROR(INDEX('Produtos'!$B$5:$B$204,MATCH(C845,'Produtos'!$A$5:$A$204,0)),"Código não cadastrado"))</f>
        <v/>
      </c>
      <c r="E845" s="58" t="n"/>
      <c r="F845" s="61" t="n"/>
      <c r="G845" s="59" t="n"/>
      <c r="H845" s="59" t="n"/>
      <c r="I845" s="67">
        <f>IF(OR(A845="",C845=""),"",IFERROR(INDEX('Produtos'!$F$5:$F$204,MATCH(C845,'Produtos'!$A$5:$A$204,0))+SUMIFS($F$5:$F$1004,$C$5:$C$1004,C845,$E$5:$E$1004,"Entrada",$A$5:$A$1004,"&lt;="&amp;A845)-SUMIFS($F$5:$F$1004,$C$5:$C$1004,C845,$E$5:$E$1004,"Saída",$A$5:$A$1004,"&lt;="&amp;A845),""))</f>
        <v/>
      </c>
      <c r="J845" s="68">
        <f>IF(A845="","",A845+ROW()/100000)</f>
        <v/>
      </c>
    </row>
    <row r="846">
      <c r="A846" s="65" t="n"/>
      <c r="B846" s="58" t="n"/>
      <c r="C846" s="58" t="n"/>
      <c r="D846" s="66">
        <f>IF(C846="","",IFERROR(INDEX('Produtos'!$B$5:$B$204,MATCH(C846,'Produtos'!$A$5:$A$204,0)),"Código não cadastrado"))</f>
        <v/>
      </c>
      <c r="E846" s="58" t="n"/>
      <c r="F846" s="61" t="n"/>
      <c r="G846" s="59" t="n"/>
      <c r="H846" s="59" t="n"/>
      <c r="I846" s="67">
        <f>IF(OR(A846="",C846=""),"",IFERROR(INDEX('Produtos'!$F$5:$F$204,MATCH(C846,'Produtos'!$A$5:$A$204,0))+SUMIFS($F$5:$F$1004,$C$5:$C$1004,C846,$E$5:$E$1004,"Entrada",$A$5:$A$1004,"&lt;="&amp;A846)-SUMIFS($F$5:$F$1004,$C$5:$C$1004,C846,$E$5:$E$1004,"Saída",$A$5:$A$1004,"&lt;="&amp;A846),""))</f>
        <v/>
      </c>
      <c r="J846" s="68">
        <f>IF(A846="","",A846+ROW()/100000)</f>
        <v/>
      </c>
    </row>
    <row r="847">
      <c r="A847" s="65" t="n"/>
      <c r="B847" s="58" t="n"/>
      <c r="C847" s="58" t="n"/>
      <c r="D847" s="66">
        <f>IF(C847="","",IFERROR(INDEX('Produtos'!$B$5:$B$204,MATCH(C847,'Produtos'!$A$5:$A$204,0)),"Código não cadastrado"))</f>
        <v/>
      </c>
      <c r="E847" s="58" t="n"/>
      <c r="F847" s="61" t="n"/>
      <c r="G847" s="59" t="n"/>
      <c r="H847" s="59" t="n"/>
      <c r="I847" s="67">
        <f>IF(OR(A847="",C847=""),"",IFERROR(INDEX('Produtos'!$F$5:$F$204,MATCH(C847,'Produtos'!$A$5:$A$204,0))+SUMIFS($F$5:$F$1004,$C$5:$C$1004,C847,$E$5:$E$1004,"Entrada",$A$5:$A$1004,"&lt;="&amp;A847)-SUMIFS($F$5:$F$1004,$C$5:$C$1004,C847,$E$5:$E$1004,"Saída",$A$5:$A$1004,"&lt;="&amp;A847),""))</f>
        <v/>
      </c>
      <c r="J847" s="68">
        <f>IF(A847="","",A847+ROW()/100000)</f>
        <v/>
      </c>
    </row>
    <row r="848">
      <c r="A848" s="65" t="n"/>
      <c r="B848" s="58" t="n"/>
      <c r="C848" s="58" t="n"/>
      <c r="D848" s="66">
        <f>IF(C848="","",IFERROR(INDEX('Produtos'!$B$5:$B$204,MATCH(C848,'Produtos'!$A$5:$A$204,0)),"Código não cadastrado"))</f>
        <v/>
      </c>
      <c r="E848" s="58" t="n"/>
      <c r="F848" s="61" t="n"/>
      <c r="G848" s="59" t="n"/>
      <c r="H848" s="59" t="n"/>
      <c r="I848" s="67">
        <f>IF(OR(A848="",C848=""),"",IFERROR(INDEX('Produtos'!$F$5:$F$204,MATCH(C848,'Produtos'!$A$5:$A$204,0))+SUMIFS($F$5:$F$1004,$C$5:$C$1004,C848,$E$5:$E$1004,"Entrada",$A$5:$A$1004,"&lt;="&amp;A848)-SUMIFS($F$5:$F$1004,$C$5:$C$1004,C848,$E$5:$E$1004,"Saída",$A$5:$A$1004,"&lt;="&amp;A848),""))</f>
        <v/>
      </c>
      <c r="J848" s="68">
        <f>IF(A848="","",A848+ROW()/100000)</f>
        <v/>
      </c>
    </row>
    <row r="849">
      <c r="A849" s="65" t="n"/>
      <c r="B849" s="58" t="n"/>
      <c r="C849" s="58" t="n"/>
      <c r="D849" s="66">
        <f>IF(C849="","",IFERROR(INDEX('Produtos'!$B$5:$B$204,MATCH(C849,'Produtos'!$A$5:$A$204,0)),"Código não cadastrado"))</f>
        <v/>
      </c>
      <c r="E849" s="58" t="n"/>
      <c r="F849" s="61" t="n"/>
      <c r="G849" s="59" t="n"/>
      <c r="H849" s="59" t="n"/>
      <c r="I849" s="67">
        <f>IF(OR(A849="",C849=""),"",IFERROR(INDEX('Produtos'!$F$5:$F$204,MATCH(C849,'Produtos'!$A$5:$A$204,0))+SUMIFS($F$5:$F$1004,$C$5:$C$1004,C849,$E$5:$E$1004,"Entrada",$A$5:$A$1004,"&lt;="&amp;A849)-SUMIFS($F$5:$F$1004,$C$5:$C$1004,C849,$E$5:$E$1004,"Saída",$A$5:$A$1004,"&lt;="&amp;A849),""))</f>
        <v/>
      </c>
      <c r="J849" s="68">
        <f>IF(A849="","",A849+ROW()/100000)</f>
        <v/>
      </c>
    </row>
    <row r="850">
      <c r="A850" s="65" t="n"/>
      <c r="B850" s="58" t="n"/>
      <c r="C850" s="58" t="n"/>
      <c r="D850" s="66">
        <f>IF(C850="","",IFERROR(INDEX('Produtos'!$B$5:$B$204,MATCH(C850,'Produtos'!$A$5:$A$204,0)),"Código não cadastrado"))</f>
        <v/>
      </c>
      <c r="E850" s="58" t="n"/>
      <c r="F850" s="61" t="n"/>
      <c r="G850" s="59" t="n"/>
      <c r="H850" s="59" t="n"/>
      <c r="I850" s="67">
        <f>IF(OR(A850="",C850=""),"",IFERROR(INDEX('Produtos'!$F$5:$F$204,MATCH(C850,'Produtos'!$A$5:$A$204,0))+SUMIFS($F$5:$F$1004,$C$5:$C$1004,C850,$E$5:$E$1004,"Entrada",$A$5:$A$1004,"&lt;="&amp;A850)-SUMIFS($F$5:$F$1004,$C$5:$C$1004,C850,$E$5:$E$1004,"Saída",$A$5:$A$1004,"&lt;="&amp;A850),""))</f>
        <v/>
      </c>
      <c r="J850" s="68">
        <f>IF(A850="","",A850+ROW()/100000)</f>
        <v/>
      </c>
    </row>
    <row r="851">
      <c r="A851" s="65" t="n"/>
      <c r="B851" s="58" t="n"/>
      <c r="C851" s="58" t="n"/>
      <c r="D851" s="66">
        <f>IF(C851="","",IFERROR(INDEX('Produtos'!$B$5:$B$204,MATCH(C851,'Produtos'!$A$5:$A$204,0)),"Código não cadastrado"))</f>
        <v/>
      </c>
      <c r="E851" s="58" t="n"/>
      <c r="F851" s="61" t="n"/>
      <c r="G851" s="59" t="n"/>
      <c r="H851" s="59" t="n"/>
      <c r="I851" s="67">
        <f>IF(OR(A851="",C851=""),"",IFERROR(INDEX('Produtos'!$F$5:$F$204,MATCH(C851,'Produtos'!$A$5:$A$204,0))+SUMIFS($F$5:$F$1004,$C$5:$C$1004,C851,$E$5:$E$1004,"Entrada",$A$5:$A$1004,"&lt;="&amp;A851)-SUMIFS($F$5:$F$1004,$C$5:$C$1004,C851,$E$5:$E$1004,"Saída",$A$5:$A$1004,"&lt;="&amp;A851),""))</f>
        <v/>
      </c>
      <c r="J851" s="68">
        <f>IF(A851="","",A851+ROW()/100000)</f>
        <v/>
      </c>
    </row>
    <row r="852">
      <c r="A852" s="65" t="n"/>
      <c r="B852" s="58" t="n"/>
      <c r="C852" s="58" t="n"/>
      <c r="D852" s="66">
        <f>IF(C852="","",IFERROR(INDEX('Produtos'!$B$5:$B$204,MATCH(C852,'Produtos'!$A$5:$A$204,0)),"Código não cadastrado"))</f>
        <v/>
      </c>
      <c r="E852" s="58" t="n"/>
      <c r="F852" s="61" t="n"/>
      <c r="G852" s="59" t="n"/>
      <c r="H852" s="59" t="n"/>
      <c r="I852" s="67">
        <f>IF(OR(A852="",C852=""),"",IFERROR(INDEX('Produtos'!$F$5:$F$204,MATCH(C852,'Produtos'!$A$5:$A$204,0))+SUMIFS($F$5:$F$1004,$C$5:$C$1004,C852,$E$5:$E$1004,"Entrada",$A$5:$A$1004,"&lt;="&amp;A852)-SUMIFS($F$5:$F$1004,$C$5:$C$1004,C852,$E$5:$E$1004,"Saída",$A$5:$A$1004,"&lt;="&amp;A852),""))</f>
        <v/>
      </c>
      <c r="J852" s="68">
        <f>IF(A852="","",A852+ROW()/100000)</f>
        <v/>
      </c>
    </row>
    <row r="853">
      <c r="A853" s="65" t="n"/>
      <c r="B853" s="58" t="n"/>
      <c r="C853" s="58" t="n"/>
      <c r="D853" s="66">
        <f>IF(C853="","",IFERROR(INDEX('Produtos'!$B$5:$B$204,MATCH(C853,'Produtos'!$A$5:$A$204,0)),"Código não cadastrado"))</f>
        <v/>
      </c>
      <c r="E853" s="58" t="n"/>
      <c r="F853" s="61" t="n"/>
      <c r="G853" s="59" t="n"/>
      <c r="H853" s="59" t="n"/>
      <c r="I853" s="67">
        <f>IF(OR(A853="",C853=""),"",IFERROR(INDEX('Produtos'!$F$5:$F$204,MATCH(C853,'Produtos'!$A$5:$A$204,0))+SUMIFS($F$5:$F$1004,$C$5:$C$1004,C853,$E$5:$E$1004,"Entrada",$A$5:$A$1004,"&lt;="&amp;A853)-SUMIFS($F$5:$F$1004,$C$5:$C$1004,C853,$E$5:$E$1004,"Saída",$A$5:$A$1004,"&lt;="&amp;A853),""))</f>
        <v/>
      </c>
      <c r="J853" s="68">
        <f>IF(A853="","",A853+ROW()/100000)</f>
        <v/>
      </c>
    </row>
    <row r="854">
      <c r="A854" s="65" t="n"/>
      <c r="B854" s="58" t="n"/>
      <c r="C854" s="58" t="n"/>
      <c r="D854" s="66">
        <f>IF(C854="","",IFERROR(INDEX('Produtos'!$B$5:$B$204,MATCH(C854,'Produtos'!$A$5:$A$204,0)),"Código não cadastrado"))</f>
        <v/>
      </c>
      <c r="E854" s="58" t="n"/>
      <c r="F854" s="61" t="n"/>
      <c r="G854" s="59" t="n"/>
      <c r="H854" s="59" t="n"/>
      <c r="I854" s="67">
        <f>IF(OR(A854="",C854=""),"",IFERROR(INDEX('Produtos'!$F$5:$F$204,MATCH(C854,'Produtos'!$A$5:$A$204,0))+SUMIFS($F$5:$F$1004,$C$5:$C$1004,C854,$E$5:$E$1004,"Entrada",$A$5:$A$1004,"&lt;="&amp;A854)-SUMIFS($F$5:$F$1004,$C$5:$C$1004,C854,$E$5:$E$1004,"Saída",$A$5:$A$1004,"&lt;="&amp;A854),""))</f>
        <v/>
      </c>
      <c r="J854" s="68">
        <f>IF(A854="","",A854+ROW()/100000)</f>
        <v/>
      </c>
    </row>
    <row r="855">
      <c r="A855" s="65" t="n"/>
      <c r="B855" s="58" t="n"/>
      <c r="C855" s="58" t="n"/>
      <c r="D855" s="66">
        <f>IF(C855="","",IFERROR(INDEX('Produtos'!$B$5:$B$204,MATCH(C855,'Produtos'!$A$5:$A$204,0)),"Código não cadastrado"))</f>
        <v/>
      </c>
      <c r="E855" s="58" t="n"/>
      <c r="F855" s="61" t="n"/>
      <c r="G855" s="59" t="n"/>
      <c r="H855" s="59" t="n"/>
      <c r="I855" s="67">
        <f>IF(OR(A855="",C855=""),"",IFERROR(INDEX('Produtos'!$F$5:$F$204,MATCH(C855,'Produtos'!$A$5:$A$204,0))+SUMIFS($F$5:$F$1004,$C$5:$C$1004,C855,$E$5:$E$1004,"Entrada",$A$5:$A$1004,"&lt;="&amp;A855)-SUMIFS($F$5:$F$1004,$C$5:$C$1004,C855,$E$5:$E$1004,"Saída",$A$5:$A$1004,"&lt;="&amp;A855),""))</f>
        <v/>
      </c>
      <c r="J855" s="68">
        <f>IF(A855="","",A855+ROW()/100000)</f>
        <v/>
      </c>
    </row>
    <row r="856">
      <c r="A856" s="65" t="n"/>
      <c r="B856" s="58" t="n"/>
      <c r="C856" s="58" t="n"/>
      <c r="D856" s="66">
        <f>IF(C856="","",IFERROR(INDEX('Produtos'!$B$5:$B$204,MATCH(C856,'Produtos'!$A$5:$A$204,0)),"Código não cadastrado"))</f>
        <v/>
      </c>
      <c r="E856" s="58" t="n"/>
      <c r="F856" s="61" t="n"/>
      <c r="G856" s="59" t="n"/>
      <c r="H856" s="59" t="n"/>
      <c r="I856" s="67">
        <f>IF(OR(A856="",C856=""),"",IFERROR(INDEX('Produtos'!$F$5:$F$204,MATCH(C856,'Produtos'!$A$5:$A$204,0))+SUMIFS($F$5:$F$1004,$C$5:$C$1004,C856,$E$5:$E$1004,"Entrada",$A$5:$A$1004,"&lt;="&amp;A856)-SUMIFS($F$5:$F$1004,$C$5:$C$1004,C856,$E$5:$E$1004,"Saída",$A$5:$A$1004,"&lt;="&amp;A856),""))</f>
        <v/>
      </c>
      <c r="J856" s="68">
        <f>IF(A856="","",A856+ROW()/100000)</f>
        <v/>
      </c>
    </row>
    <row r="857">
      <c r="A857" s="65" t="n"/>
      <c r="B857" s="58" t="n"/>
      <c r="C857" s="58" t="n"/>
      <c r="D857" s="66">
        <f>IF(C857="","",IFERROR(INDEX('Produtos'!$B$5:$B$204,MATCH(C857,'Produtos'!$A$5:$A$204,0)),"Código não cadastrado"))</f>
        <v/>
      </c>
      <c r="E857" s="58" t="n"/>
      <c r="F857" s="61" t="n"/>
      <c r="G857" s="59" t="n"/>
      <c r="H857" s="59" t="n"/>
      <c r="I857" s="67">
        <f>IF(OR(A857="",C857=""),"",IFERROR(INDEX('Produtos'!$F$5:$F$204,MATCH(C857,'Produtos'!$A$5:$A$204,0))+SUMIFS($F$5:$F$1004,$C$5:$C$1004,C857,$E$5:$E$1004,"Entrada",$A$5:$A$1004,"&lt;="&amp;A857)-SUMIFS($F$5:$F$1004,$C$5:$C$1004,C857,$E$5:$E$1004,"Saída",$A$5:$A$1004,"&lt;="&amp;A857),""))</f>
        <v/>
      </c>
      <c r="J857" s="68">
        <f>IF(A857="","",A857+ROW()/100000)</f>
        <v/>
      </c>
    </row>
    <row r="858">
      <c r="A858" s="65" t="n"/>
      <c r="B858" s="58" t="n"/>
      <c r="C858" s="58" t="n"/>
      <c r="D858" s="66">
        <f>IF(C858="","",IFERROR(INDEX('Produtos'!$B$5:$B$204,MATCH(C858,'Produtos'!$A$5:$A$204,0)),"Código não cadastrado"))</f>
        <v/>
      </c>
      <c r="E858" s="58" t="n"/>
      <c r="F858" s="61" t="n"/>
      <c r="G858" s="59" t="n"/>
      <c r="H858" s="59" t="n"/>
      <c r="I858" s="67">
        <f>IF(OR(A858="",C858=""),"",IFERROR(INDEX('Produtos'!$F$5:$F$204,MATCH(C858,'Produtos'!$A$5:$A$204,0))+SUMIFS($F$5:$F$1004,$C$5:$C$1004,C858,$E$5:$E$1004,"Entrada",$A$5:$A$1004,"&lt;="&amp;A858)-SUMIFS($F$5:$F$1004,$C$5:$C$1004,C858,$E$5:$E$1004,"Saída",$A$5:$A$1004,"&lt;="&amp;A858),""))</f>
        <v/>
      </c>
      <c r="J858" s="68">
        <f>IF(A858="","",A858+ROW()/100000)</f>
        <v/>
      </c>
    </row>
    <row r="859">
      <c r="A859" s="65" t="n"/>
      <c r="B859" s="58" t="n"/>
      <c r="C859" s="58" t="n"/>
      <c r="D859" s="66">
        <f>IF(C859="","",IFERROR(INDEX('Produtos'!$B$5:$B$204,MATCH(C859,'Produtos'!$A$5:$A$204,0)),"Código não cadastrado"))</f>
        <v/>
      </c>
      <c r="E859" s="58" t="n"/>
      <c r="F859" s="61" t="n"/>
      <c r="G859" s="59" t="n"/>
      <c r="H859" s="59" t="n"/>
      <c r="I859" s="67">
        <f>IF(OR(A859="",C859=""),"",IFERROR(INDEX('Produtos'!$F$5:$F$204,MATCH(C859,'Produtos'!$A$5:$A$204,0))+SUMIFS($F$5:$F$1004,$C$5:$C$1004,C859,$E$5:$E$1004,"Entrada",$A$5:$A$1004,"&lt;="&amp;A859)-SUMIFS($F$5:$F$1004,$C$5:$C$1004,C859,$E$5:$E$1004,"Saída",$A$5:$A$1004,"&lt;="&amp;A859),""))</f>
        <v/>
      </c>
      <c r="J859" s="68">
        <f>IF(A859="","",A859+ROW()/100000)</f>
        <v/>
      </c>
    </row>
    <row r="860">
      <c r="A860" s="65" t="n"/>
      <c r="B860" s="58" t="n"/>
      <c r="C860" s="58" t="n"/>
      <c r="D860" s="66">
        <f>IF(C860="","",IFERROR(INDEX('Produtos'!$B$5:$B$204,MATCH(C860,'Produtos'!$A$5:$A$204,0)),"Código não cadastrado"))</f>
        <v/>
      </c>
      <c r="E860" s="58" t="n"/>
      <c r="F860" s="61" t="n"/>
      <c r="G860" s="59" t="n"/>
      <c r="H860" s="59" t="n"/>
      <c r="I860" s="67">
        <f>IF(OR(A860="",C860=""),"",IFERROR(INDEX('Produtos'!$F$5:$F$204,MATCH(C860,'Produtos'!$A$5:$A$204,0))+SUMIFS($F$5:$F$1004,$C$5:$C$1004,C860,$E$5:$E$1004,"Entrada",$A$5:$A$1004,"&lt;="&amp;A860)-SUMIFS($F$5:$F$1004,$C$5:$C$1004,C860,$E$5:$E$1004,"Saída",$A$5:$A$1004,"&lt;="&amp;A860),""))</f>
        <v/>
      </c>
      <c r="J860" s="68">
        <f>IF(A860="","",A860+ROW()/100000)</f>
        <v/>
      </c>
    </row>
    <row r="861">
      <c r="A861" s="65" t="n"/>
      <c r="B861" s="58" t="n"/>
      <c r="C861" s="58" t="n"/>
      <c r="D861" s="66">
        <f>IF(C861="","",IFERROR(INDEX('Produtos'!$B$5:$B$204,MATCH(C861,'Produtos'!$A$5:$A$204,0)),"Código não cadastrado"))</f>
        <v/>
      </c>
      <c r="E861" s="58" t="n"/>
      <c r="F861" s="61" t="n"/>
      <c r="G861" s="59" t="n"/>
      <c r="H861" s="59" t="n"/>
      <c r="I861" s="67">
        <f>IF(OR(A861="",C861=""),"",IFERROR(INDEX('Produtos'!$F$5:$F$204,MATCH(C861,'Produtos'!$A$5:$A$204,0))+SUMIFS($F$5:$F$1004,$C$5:$C$1004,C861,$E$5:$E$1004,"Entrada",$A$5:$A$1004,"&lt;="&amp;A861)-SUMIFS($F$5:$F$1004,$C$5:$C$1004,C861,$E$5:$E$1004,"Saída",$A$5:$A$1004,"&lt;="&amp;A861),""))</f>
        <v/>
      </c>
      <c r="J861" s="68">
        <f>IF(A861="","",A861+ROW()/100000)</f>
        <v/>
      </c>
    </row>
    <row r="862">
      <c r="A862" s="65" t="n"/>
      <c r="B862" s="58" t="n"/>
      <c r="C862" s="58" t="n"/>
      <c r="D862" s="66">
        <f>IF(C862="","",IFERROR(INDEX('Produtos'!$B$5:$B$204,MATCH(C862,'Produtos'!$A$5:$A$204,0)),"Código não cadastrado"))</f>
        <v/>
      </c>
      <c r="E862" s="58" t="n"/>
      <c r="F862" s="61" t="n"/>
      <c r="G862" s="59" t="n"/>
      <c r="H862" s="59" t="n"/>
      <c r="I862" s="67">
        <f>IF(OR(A862="",C862=""),"",IFERROR(INDEX('Produtos'!$F$5:$F$204,MATCH(C862,'Produtos'!$A$5:$A$204,0))+SUMIFS($F$5:$F$1004,$C$5:$C$1004,C862,$E$5:$E$1004,"Entrada",$A$5:$A$1004,"&lt;="&amp;A862)-SUMIFS($F$5:$F$1004,$C$5:$C$1004,C862,$E$5:$E$1004,"Saída",$A$5:$A$1004,"&lt;="&amp;A862),""))</f>
        <v/>
      </c>
      <c r="J862" s="68">
        <f>IF(A862="","",A862+ROW()/100000)</f>
        <v/>
      </c>
    </row>
    <row r="863">
      <c r="A863" s="65" t="n"/>
      <c r="B863" s="58" t="n"/>
      <c r="C863" s="58" t="n"/>
      <c r="D863" s="66">
        <f>IF(C863="","",IFERROR(INDEX('Produtos'!$B$5:$B$204,MATCH(C863,'Produtos'!$A$5:$A$204,0)),"Código não cadastrado"))</f>
        <v/>
      </c>
      <c r="E863" s="58" t="n"/>
      <c r="F863" s="61" t="n"/>
      <c r="G863" s="59" t="n"/>
      <c r="H863" s="59" t="n"/>
      <c r="I863" s="67">
        <f>IF(OR(A863="",C863=""),"",IFERROR(INDEX('Produtos'!$F$5:$F$204,MATCH(C863,'Produtos'!$A$5:$A$204,0))+SUMIFS($F$5:$F$1004,$C$5:$C$1004,C863,$E$5:$E$1004,"Entrada",$A$5:$A$1004,"&lt;="&amp;A863)-SUMIFS($F$5:$F$1004,$C$5:$C$1004,C863,$E$5:$E$1004,"Saída",$A$5:$A$1004,"&lt;="&amp;A863),""))</f>
        <v/>
      </c>
      <c r="J863" s="68">
        <f>IF(A863="","",A863+ROW()/100000)</f>
        <v/>
      </c>
    </row>
    <row r="864">
      <c r="A864" s="65" t="n"/>
      <c r="B864" s="58" t="n"/>
      <c r="C864" s="58" t="n"/>
      <c r="D864" s="66">
        <f>IF(C864="","",IFERROR(INDEX('Produtos'!$B$5:$B$204,MATCH(C864,'Produtos'!$A$5:$A$204,0)),"Código não cadastrado"))</f>
        <v/>
      </c>
      <c r="E864" s="58" t="n"/>
      <c r="F864" s="61" t="n"/>
      <c r="G864" s="59" t="n"/>
      <c r="H864" s="59" t="n"/>
      <c r="I864" s="67">
        <f>IF(OR(A864="",C864=""),"",IFERROR(INDEX('Produtos'!$F$5:$F$204,MATCH(C864,'Produtos'!$A$5:$A$204,0))+SUMIFS($F$5:$F$1004,$C$5:$C$1004,C864,$E$5:$E$1004,"Entrada",$A$5:$A$1004,"&lt;="&amp;A864)-SUMIFS($F$5:$F$1004,$C$5:$C$1004,C864,$E$5:$E$1004,"Saída",$A$5:$A$1004,"&lt;="&amp;A864),""))</f>
        <v/>
      </c>
      <c r="J864" s="68">
        <f>IF(A864="","",A864+ROW()/100000)</f>
        <v/>
      </c>
    </row>
    <row r="865">
      <c r="A865" s="65" t="n"/>
      <c r="B865" s="58" t="n"/>
      <c r="C865" s="58" t="n"/>
      <c r="D865" s="66">
        <f>IF(C865="","",IFERROR(INDEX('Produtos'!$B$5:$B$204,MATCH(C865,'Produtos'!$A$5:$A$204,0)),"Código não cadastrado"))</f>
        <v/>
      </c>
      <c r="E865" s="58" t="n"/>
      <c r="F865" s="61" t="n"/>
      <c r="G865" s="59" t="n"/>
      <c r="H865" s="59" t="n"/>
      <c r="I865" s="67">
        <f>IF(OR(A865="",C865=""),"",IFERROR(INDEX('Produtos'!$F$5:$F$204,MATCH(C865,'Produtos'!$A$5:$A$204,0))+SUMIFS($F$5:$F$1004,$C$5:$C$1004,C865,$E$5:$E$1004,"Entrada",$A$5:$A$1004,"&lt;="&amp;A865)-SUMIFS($F$5:$F$1004,$C$5:$C$1004,C865,$E$5:$E$1004,"Saída",$A$5:$A$1004,"&lt;="&amp;A865),""))</f>
        <v/>
      </c>
      <c r="J865" s="68">
        <f>IF(A865="","",A865+ROW()/100000)</f>
        <v/>
      </c>
    </row>
    <row r="866">
      <c r="A866" s="65" t="n"/>
      <c r="B866" s="58" t="n"/>
      <c r="C866" s="58" t="n"/>
      <c r="D866" s="66">
        <f>IF(C866="","",IFERROR(INDEX('Produtos'!$B$5:$B$204,MATCH(C866,'Produtos'!$A$5:$A$204,0)),"Código não cadastrado"))</f>
        <v/>
      </c>
      <c r="E866" s="58" t="n"/>
      <c r="F866" s="61" t="n"/>
      <c r="G866" s="59" t="n"/>
      <c r="H866" s="59" t="n"/>
      <c r="I866" s="67">
        <f>IF(OR(A866="",C866=""),"",IFERROR(INDEX('Produtos'!$F$5:$F$204,MATCH(C866,'Produtos'!$A$5:$A$204,0))+SUMIFS($F$5:$F$1004,$C$5:$C$1004,C866,$E$5:$E$1004,"Entrada",$A$5:$A$1004,"&lt;="&amp;A866)-SUMIFS($F$5:$F$1004,$C$5:$C$1004,C866,$E$5:$E$1004,"Saída",$A$5:$A$1004,"&lt;="&amp;A866),""))</f>
        <v/>
      </c>
      <c r="J866" s="68">
        <f>IF(A866="","",A866+ROW()/100000)</f>
        <v/>
      </c>
    </row>
    <row r="867">
      <c r="A867" s="65" t="n"/>
      <c r="B867" s="58" t="n"/>
      <c r="C867" s="58" t="n"/>
      <c r="D867" s="66">
        <f>IF(C867="","",IFERROR(INDEX('Produtos'!$B$5:$B$204,MATCH(C867,'Produtos'!$A$5:$A$204,0)),"Código não cadastrado"))</f>
        <v/>
      </c>
      <c r="E867" s="58" t="n"/>
      <c r="F867" s="61" t="n"/>
      <c r="G867" s="59" t="n"/>
      <c r="H867" s="59" t="n"/>
      <c r="I867" s="67">
        <f>IF(OR(A867="",C867=""),"",IFERROR(INDEX('Produtos'!$F$5:$F$204,MATCH(C867,'Produtos'!$A$5:$A$204,0))+SUMIFS($F$5:$F$1004,$C$5:$C$1004,C867,$E$5:$E$1004,"Entrada",$A$5:$A$1004,"&lt;="&amp;A867)-SUMIFS($F$5:$F$1004,$C$5:$C$1004,C867,$E$5:$E$1004,"Saída",$A$5:$A$1004,"&lt;="&amp;A867),""))</f>
        <v/>
      </c>
      <c r="J867" s="68">
        <f>IF(A867="","",A867+ROW()/100000)</f>
        <v/>
      </c>
    </row>
    <row r="868">
      <c r="A868" s="65" t="n"/>
      <c r="B868" s="58" t="n"/>
      <c r="C868" s="58" t="n"/>
      <c r="D868" s="66">
        <f>IF(C868="","",IFERROR(INDEX('Produtos'!$B$5:$B$204,MATCH(C868,'Produtos'!$A$5:$A$204,0)),"Código não cadastrado"))</f>
        <v/>
      </c>
      <c r="E868" s="58" t="n"/>
      <c r="F868" s="61" t="n"/>
      <c r="G868" s="59" t="n"/>
      <c r="H868" s="59" t="n"/>
      <c r="I868" s="67">
        <f>IF(OR(A868="",C868=""),"",IFERROR(INDEX('Produtos'!$F$5:$F$204,MATCH(C868,'Produtos'!$A$5:$A$204,0))+SUMIFS($F$5:$F$1004,$C$5:$C$1004,C868,$E$5:$E$1004,"Entrada",$A$5:$A$1004,"&lt;="&amp;A868)-SUMIFS($F$5:$F$1004,$C$5:$C$1004,C868,$E$5:$E$1004,"Saída",$A$5:$A$1004,"&lt;="&amp;A868),""))</f>
        <v/>
      </c>
      <c r="J868" s="68">
        <f>IF(A868="","",A868+ROW()/100000)</f>
        <v/>
      </c>
    </row>
    <row r="869">
      <c r="A869" s="65" t="n"/>
      <c r="B869" s="58" t="n"/>
      <c r="C869" s="58" t="n"/>
      <c r="D869" s="66">
        <f>IF(C869="","",IFERROR(INDEX('Produtos'!$B$5:$B$204,MATCH(C869,'Produtos'!$A$5:$A$204,0)),"Código não cadastrado"))</f>
        <v/>
      </c>
      <c r="E869" s="58" t="n"/>
      <c r="F869" s="61" t="n"/>
      <c r="G869" s="59" t="n"/>
      <c r="H869" s="59" t="n"/>
      <c r="I869" s="67">
        <f>IF(OR(A869="",C869=""),"",IFERROR(INDEX('Produtos'!$F$5:$F$204,MATCH(C869,'Produtos'!$A$5:$A$204,0))+SUMIFS($F$5:$F$1004,$C$5:$C$1004,C869,$E$5:$E$1004,"Entrada",$A$5:$A$1004,"&lt;="&amp;A869)-SUMIFS($F$5:$F$1004,$C$5:$C$1004,C869,$E$5:$E$1004,"Saída",$A$5:$A$1004,"&lt;="&amp;A869),""))</f>
        <v/>
      </c>
      <c r="J869" s="68">
        <f>IF(A869="","",A869+ROW()/100000)</f>
        <v/>
      </c>
    </row>
    <row r="870">
      <c r="A870" s="65" t="n"/>
      <c r="B870" s="58" t="n"/>
      <c r="C870" s="58" t="n"/>
      <c r="D870" s="66">
        <f>IF(C870="","",IFERROR(INDEX('Produtos'!$B$5:$B$204,MATCH(C870,'Produtos'!$A$5:$A$204,0)),"Código não cadastrado"))</f>
        <v/>
      </c>
      <c r="E870" s="58" t="n"/>
      <c r="F870" s="61" t="n"/>
      <c r="G870" s="59" t="n"/>
      <c r="H870" s="59" t="n"/>
      <c r="I870" s="67">
        <f>IF(OR(A870="",C870=""),"",IFERROR(INDEX('Produtos'!$F$5:$F$204,MATCH(C870,'Produtos'!$A$5:$A$204,0))+SUMIFS($F$5:$F$1004,$C$5:$C$1004,C870,$E$5:$E$1004,"Entrada",$A$5:$A$1004,"&lt;="&amp;A870)-SUMIFS($F$5:$F$1004,$C$5:$C$1004,C870,$E$5:$E$1004,"Saída",$A$5:$A$1004,"&lt;="&amp;A870),""))</f>
        <v/>
      </c>
      <c r="J870" s="68">
        <f>IF(A870="","",A870+ROW()/100000)</f>
        <v/>
      </c>
    </row>
    <row r="871">
      <c r="A871" s="65" t="n"/>
      <c r="B871" s="58" t="n"/>
      <c r="C871" s="58" t="n"/>
      <c r="D871" s="66">
        <f>IF(C871="","",IFERROR(INDEX('Produtos'!$B$5:$B$204,MATCH(C871,'Produtos'!$A$5:$A$204,0)),"Código não cadastrado"))</f>
        <v/>
      </c>
      <c r="E871" s="58" t="n"/>
      <c r="F871" s="61" t="n"/>
      <c r="G871" s="59" t="n"/>
      <c r="H871" s="59" t="n"/>
      <c r="I871" s="67">
        <f>IF(OR(A871="",C871=""),"",IFERROR(INDEX('Produtos'!$F$5:$F$204,MATCH(C871,'Produtos'!$A$5:$A$204,0))+SUMIFS($F$5:$F$1004,$C$5:$C$1004,C871,$E$5:$E$1004,"Entrada",$A$5:$A$1004,"&lt;="&amp;A871)-SUMIFS($F$5:$F$1004,$C$5:$C$1004,C871,$E$5:$E$1004,"Saída",$A$5:$A$1004,"&lt;="&amp;A871),""))</f>
        <v/>
      </c>
      <c r="J871" s="68">
        <f>IF(A871="","",A871+ROW()/100000)</f>
        <v/>
      </c>
    </row>
    <row r="872">
      <c r="A872" s="65" t="n"/>
      <c r="B872" s="58" t="n"/>
      <c r="C872" s="58" t="n"/>
      <c r="D872" s="66">
        <f>IF(C872="","",IFERROR(INDEX('Produtos'!$B$5:$B$204,MATCH(C872,'Produtos'!$A$5:$A$204,0)),"Código não cadastrado"))</f>
        <v/>
      </c>
      <c r="E872" s="58" t="n"/>
      <c r="F872" s="61" t="n"/>
      <c r="G872" s="59" t="n"/>
      <c r="H872" s="59" t="n"/>
      <c r="I872" s="67">
        <f>IF(OR(A872="",C872=""),"",IFERROR(INDEX('Produtos'!$F$5:$F$204,MATCH(C872,'Produtos'!$A$5:$A$204,0))+SUMIFS($F$5:$F$1004,$C$5:$C$1004,C872,$E$5:$E$1004,"Entrada",$A$5:$A$1004,"&lt;="&amp;A872)-SUMIFS($F$5:$F$1004,$C$5:$C$1004,C872,$E$5:$E$1004,"Saída",$A$5:$A$1004,"&lt;="&amp;A872),""))</f>
        <v/>
      </c>
      <c r="J872" s="68">
        <f>IF(A872="","",A872+ROW()/100000)</f>
        <v/>
      </c>
    </row>
    <row r="873">
      <c r="A873" s="65" t="n"/>
      <c r="B873" s="58" t="n"/>
      <c r="C873" s="58" t="n"/>
      <c r="D873" s="66">
        <f>IF(C873="","",IFERROR(INDEX('Produtos'!$B$5:$B$204,MATCH(C873,'Produtos'!$A$5:$A$204,0)),"Código não cadastrado"))</f>
        <v/>
      </c>
      <c r="E873" s="58" t="n"/>
      <c r="F873" s="61" t="n"/>
      <c r="G873" s="59" t="n"/>
      <c r="H873" s="59" t="n"/>
      <c r="I873" s="67">
        <f>IF(OR(A873="",C873=""),"",IFERROR(INDEX('Produtos'!$F$5:$F$204,MATCH(C873,'Produtos'!$A$5:$A$204,0))+SUMIFS($F$5:$F$1004,$C$5:$C$1004,C873,$E$5:$E$1004,"Entrada",$A$5:$A$1004,"&lt;="&amp;A873)-SUMIFS($F$5:$F$1004,$C$5:$C$1004,C873,$E$5:$E$1004,"Saída",$A$5:$A$1004,"&lt;="&amp;A873),""))</f>
        <v/>
      </c>
      <c r="J873" s="68">
        <f>IF(A873="","",A873+ROW()/100000)</f>
        <v/>
      </c>
    </row>
    <row r="874">
      <c r="A874" s="65" t="n"/>
      <c r="B874" s="58" t="n"/>
      <c r="C874" s="58" t="n"/>
      <c r="D874" s="66">
        <f>IF(C874="","",IFERROR(INDEX('Produtos'!$B$5:$B$204,MATCH(C874,'Produtos'!$A$5:$A$204,0)),"Código não cadastrado"))</f>
        <v/>
      </c>
      <c r="E874" s="58" t="n"/>
      <c r="F874" s="61" t="n"/>
      <c r="G874" s="59" t="n"/>
      <c r="H874" s="59" t="n"/>
      <c r="I874" s="67">
        <f>IF(OR(A874="",C874=""),"",IFERROR(INDEX('Produtos'!$F$5:$F$204,MATCH(C874,'Produtos'!$A$5:$A$204,0))+SUMIFS($F$5:$F$1004,$C$5:$C$1004,C874,$E$5:$E$1004,"Entrada",$A$5:$A$1004,"&lt;="&amp;A874)-SUMIFS($F$5:$F$1004,$C$5:$C$1004,C874,$E$5:$E$1004,"Saída",$A$5:$A$1004,"&lt;="&amp;A874),""))</f>
        <v/>
      </c>
      <c r="J874" s="68">
        <f>IF(A874="","",A874+ROW()/100000)</f>
        <v/>
      </c>
    </row>
    <row r="875">
      <c r="A875" s="65" t="n"/>
      <c r="B875" s="58" t="n"/>
      <c r="C875" s="58" t="n"/>
      <c r="D875" s="66">
        <f>IF(C875="","",IFERROR(INDEX('Produtos'!$B$5:$B$204,MATCH(C875,'Produtos'!$A$5:$A$204,0)),"Código não cadastrado"))</f>
        <v/>
      </c>
      <c r="E875" s="58" t="n"/>
      <c r="F875" s="61" t="n"/>
      <c r="G875" s="59" t="n"/>
      <c r="H875" s="59" t="n"/>
      <c r="I875" s="67">
        <f>IF(OR(A875="",C875=""),"",IFERROR(INDEX('Produtos'!$F$5:$F$204,MATCH(C875,'Produtos'!$A$5:$A$204,0))+SUMIFS($F$5:$F$1004,$C$5:$C$1004,C875,$E$5:$E$1004,"Entrada",$A$5:$A$1004,"&lt;="&amp;A875)-SUMIFS($F$5:$F$1004,$C$5:$C$1004,C875,$E$5:$E$1004,"Saída",$A$5:$A$1004,"&lt;="&amp;A875),""))</f>
        <v/>
      </c>
      <c r="J875" s="68">
        <f>IF(A875="","",A875+ROW()/100000)</f>
        <v/>
      </c>
    </row>
    <row r="876">
      <c r="A876" s="65" t="n"/>
      <c r="B876" s="58" t="n"/>
      <c r="C876" s="58" t="n"/>
      <c r="D876" s="66">
        <f>IF(C876="","",IFERROR(INDEX('Produtos'!$B$5:$B$204,MATCH(C876,'Produtos'!$A$5:$A$204,0)),"Código não cadastrado"))</f>
        <v/>
      </c>
      <c r="E876" s="58" t="n"/>
      <c r="F876" s="61" t="n"/>
      <c r="G876" s="59" t="n"/>
      <c r="H876" s="59" t="n"/>
      <c r="I876" s="67">
        <f>IF(OR(A876="",C876=""),"",IFERROR(INDEX('Produtos'!$F$5:$F$204,MATCH(C876,'Produtos'!$A$5:$A$204,0))+SUMIFS($F$5:$F$1004,$C$5:$C$1004,C876,$E$5:$E$1004,"Entrada",$A$5:$A$1004,"&lt;="&amp;A876)-SUMIFS($F$5:$F$1004,$C$5:$C$1004,C876,$E$5:$E$1004,"Saída",$A$5:$A$1004,"&lt;="&amp;A876),""))</f>
        <v/>
      </c>
      <c r="J876" s="68">
        <f>IF(A876="","",A876+ROW()/100000)</f>
        <v/>
      </c>
    </row>
    <row r="877">
      <c r="A877" s="65" t="n"/>
      <c r="B877" s="58" t="n"/>
      <c r="C877" s="58" t="n"/>
      <c r="D877" s="66">
        <f>IF(C877="","",IFERROR(INDEX('Produtos'!$B$5:$B$204,MATCH(C877,'Produtos'!$A$5:$A$204,0)),"Código não cadastrado"))</f>
        <v/>
      </c>
      <c r="E877" s="58" t="n"/>
      <c r="F877" s="61" t="n"/>
      <c r="G877" s="59" t="n"/>
      <c r="H877" s="59" t="n"/>
      <c r="I877" s="67">
        <f>IF(OR(A877="",C877=""),"",IFERROR(INDEX('Produtos'!$F$5:$F$204,MATCH(C877,'Produtos'!$A$5:$A$204,0))+SUMIFS($F$5:$F$1004,$C$5:$C$1004,C877,$E$5:$E$1004,"Entrada",$A$5:$A$1004,"&lt;="&amp;A877)-SUMIFS($F$5:$F$1004,$C$5:$C$1004,C877,$E$5:$E$1004,"Saída",$A$5:$A$1004,"&lt;="&amp;A877),""))</f>
        <v/>
      </c>
      <c r="J877" s="68">
        <f>IF(A877="","",A877+ROW()/100000)</f>
        <v/>
      </c>
    </row>
    <row r="878">
      <c r="A878" s="65" t="n"/>
      <c r="B878" s="58" t="n"/>
      <c r="C878" s="58" t="n"/>
      <c r="D878" s="66">
        <f>IF(C878="","",IFERROR(INDEX('Produtos'!$B$5:$B$204,MATCH(C878,'Produtos'!$A$5:$A$204,0)),"Código não cadastrado"))</f>
        <v/>
      </c>
      <c r="E878" s="58" t="n"/>
      <c r="F878" s="61" t="n"/>
      <c r="G878" s="59" t="n"/>
      <c r="H878" s="59" t="n"/>
      <c r="I878" s="67">
        <f>IF(OR(A878="",C878=""),"",IFERROR(INDEX('Produtos'!$F$5:$F$204,MATCH(C878,'Produtos'!$A$5:$A$204,0))+SUMIFS($F$5:$F$1004,$C$5:$C$1004,C878,$E$5:$E$1004,"Entrada",$A$5:$A$1004,"&lt;="&amp;A878)-SUMIFS($F$5:$F$1004,$C$5:$C$1004,C878,$E$5:$E$1004,"Saída",$A$5:$A$1004,"&lt;="&amp;A878),""))</f>
        <v/>
      </c>
      <c r="J878" s="68">
        <f>IF(A878="","",A878+ROW()/100000)</f>
        <v/>
      </c>
    </row>
    <row r="879">
      <c r="A879" s="65" t="n"/>
      <c r="B879" s="58" t="n"/>
      <c r="C879" s="58" t="n"/>
      <c r="D879" s="66">
        <f>IF(C879="","",IFERROR(INDEX('Produtos'!$B$5:$B$204,MATCH(C879,'Produtos'!$A$5:$A$204,0)),"Código não cadastrado"))</f>
        <v/>
      </c>
      <c r="E879" s="58" t="n"/>
      <c r="F879" s="61" t="n"/>
      <c r="G879" s="59" t="n"/>
      <c r="H879" s="59" t="n"/>
      <c r="I879" s="67">
        <f>IF(OR(A879="",C879=""),"",IFERROR(INDEX('Produtos'!$F$5:$F$204,MATCH(C879,'Produtos'!$A$5:$A$204,0))+SUMIFS($F$5:$F$1004,$C$5:$C$1004,C879,$E$5:$E$1004,"Entrada",$A$5:$A$1004,"&lt;="&amp;A879)-SUMIFS($F$5:$F$1004,$C$5:$C$1004,C879,$E$5:$E$1004,"Saída",$A$5:$A$1004,"&lt;="&amp;A879),""))</f>
        <v/>
      </c>
      <c r="J879" s="68">
        <f>IF(A879="","",A879+ROW()/100000)</f>
        <v/>
      </c>
    </row>
    <row r="880">
      <c r="A880" s="65" t="n"/>
      <c r="B880" s="58" t="n"/>
      <c r="C880" s="58" t="n"/>
      <c r="D880" s="66">
        <f>IF(C880="","",IFERROR(INDEX('Produtos'!$B$5:$B$204,MATCH(C880,'Produtos'!$A$5:$A$204,0)),"Código não cadastrado"))</f>
        <v/>
      </c>
      <c r="E880" s="58" t="n"/>
      <c r="F880" s="61" t="n"/>
      <c r="G880" s="59" t="n"/>
      <c r="H880" s="59" t="n"/>
      <c r="I880" s="67">
        <f>IF(OR(A880="",C880=""),"",IFERROR(INDEX('Produtos'!$F$5:$F$204,MATCH(C880,'Produtos'!$A$5:$A$204,0))+SUMIFS($F$5:$F$1004,$C$5:$C$1004,C880,$E$5:$E$1004,"Entrada",$A$5:$A$1004,"&lt;="&amp;A880)-SUMIFS($F$5:$F$1004,$C$5:$C$1004,C880,$E$5:$E$1004,"Saída",$A$5:$A$1004,"&lt;="&amp;A880),""))</f>
        <v/>
      </c>
      <c r="J880" s="68">
        <f>IF(A880="","",A880+ROW()/100000)</f>
        <v/>
      </c>
    </row>
    <row r="881">
      <c r="A881" s="65" t="n"/>
      <c r="B881" s="58" t="n"/>
      <c r="C881" s="58" t="n"/>
      <c r="D881" s="66">
        <f>IF(C881="","",IFERROR(INDEX('Produtos'!$B$5:$B$204,MATCH(C881,'Produtos'!$A$5:$A$204,0)),"Código não cadastrado"))</f>
        <v/>
      </c>
      <c r="E881" s="58" t="n"/>
      <c r="F881" s="61" t="n"/>
      <c r="G881" s="59" t="n"/>
      <c r="H881" s="59" t="n"/>
      <c r="I881" s="67">
        <f>IF(OR(A881="",C881=""),"",IFERROR(INDEX('Produtos'!$F$5:$F$204,MATCH(C881,'Produtos'!$A$5:$A$204,0))+SUMIFS($F$5:$F$1004,$C$5:$C$1004,C881,$E$5:$E$1004,"Entrada",$A$5:$A$1004,"&lt;="&amp;A881)-SUMIFS($F$5:$F$1004,$C$5:$C$1004,C881,$E$5:$E$1004,"Saída",$A$5:$A$1004,"&lt;="&amp;A881),""))</f>
        <v/>
      </c>
      <c r="J881" s="68">
        <f>IF(A881="","",A881+ROW()/100000)</f>
        <v/>
      </c>
    </row>
    <row r="882">
      <c r="A882" s="65" t="n"/>
      <c r="B882" s="58" t="n"/>
      <c r="C882" s="58" t="n"/>
      <c r="D882" s="66">
        <f>IF(C882="","",IFERROR(INDEX('Produtos'!$B$5:$B$204,MATCH(C882,'Produtos'!$A$5:$A$204,0)),"Código não cadastrado"))</f>
        <v/>
      </c>
      <c r="E882" s="58" t="n"/>
      <c r="F882" s="61" t="n"/>
      <c r="G882" s="59" t="n"/>
      <c r="H882" s="59" t="n"/>
      <c r="I882" s="67">
        <f>IF(OR(A882="",C882=""),"",IFERROR(INDEX('Produtos'!$F$5:$F$204,MATCH(C882,'Produtos'!$A$5:$A$204,0))+SUMIFS($F$5:$F$1004,$C$5:$C$1004,C882,$E$5:$E$1004,"Entrada",$A$5:$A$1004,"&lt;="&amp;A882)-SUMIFS($F$5:$F$1004,$C$5:$C$1004,C882,$E$5:$E$1004,"Saída",$A$5:$A$1004,"&lt;="&amp;A882),""))</f>
        <v/>
      </c>
      <c r="J882" s="68">
        <f>IF(A882="","",A882+ROW()/100000)</f>
        <v/>
      </c>
    </row>
    <row r="883">
      <c r="A883" s="65" t="n"/>
      <c r="B883" s="58" t="n"/>
      <c r="C883" s="58" t="n"/>
      <c r="D883" s="66">
        <f>IF(C883="","",IFERROR(INDEX('Produtos'!$B$5:$B$204,MATCH(C883,'Produtos'!$A$5:$A$204,0)),"Código não cadastrado"))</f>
        <v/>
      </c>
      <c r="E883" s="58" t="n"/>
      <c r="F883" s="61" t="n"/>
      <c r="G883" s="59" t="n"/>
      <c r="H883" s="59" t="n"/>
      <c r="I883" s="67">
        <f>IF(OR(A883="",C883=""),"",IFERROR(INDEX('Produtos'!$F$5:$F$204,MATCH(C883,'Produtos'!$A$5:$A$204,0))+SUMIFS($F$5:$F$1004,$C$5:$C$1004,C883,$E$5:$E$1004,"Entrada",$A$5:$A$1004,"&lt;="&amp;A883)-SUMIFS($F$5:$F$1004,$C$5:$C$1004,C883,$E$5:$E$1004,"Saída",$A$5:$A$1004,"&lt;="&amp;A883),""))</f>
        <v/>
      </c>
      <c r="J883" s="68">
        <f>IF(A883="","",A883+ROW()/100000)</f>
        <v/>
      </c>
    </row>
    <row r="884">
      <c r="A884" s="65" t="n"/>
      <c r="B884" s="58" t="n"/>
      <c r="C884" s="58" t="n"/>
      <c r="D884" s="66">
        <f>IF(C884="","",IFERROR(INDEX('Produtos'!$B$5:$B$204,MATCH(C884,'Produtos'!$A$5:$A$204,0)),"Código não cadastrado"))</f>
        <v/>
      </c>
      <c r="E884" s="58" t="n"/>
      <c r="F884" s="61" t="n"/>
      <c r="G884" s="59" t="n"/>
      <c r="H884" s="59" t="n"/>
      <c r="I884" s="67">
        <f>IF(OR(A884="",C884=""),"",IFERROR(INDEX('Produtos'!$F$5:$F$204,MATCH(C884,'Produtos'!$A$5:$A$204,0))+SUMIFS($F$5:$F$1004,$C$5:$C$1004,C884,$E$5:$E$1004,"Entrada",$A$5:$A$1004,"&lt;="&amp;A884)-SUMIFS($F$5:$F$1004,$C$5:$C$1004,C884,$E$5:$E$1004,"Saída",$A$5:$A$1004,"&lt;="&amp;A884),""))</f>
        <v/>
      </c>
      <c r="J884" s="68">
        <f>IF(A884="","",A884+ROW()/100000)</f>
        <v/>
      </c>
    </row>
    <row r="885">
      <c r="A885" s="65" t="n"/>
      <c r="B885" s="58" t="n"/>
      <c r="C885" s="58" t="n"/>
      <c r="D885" s="66">
        <f>IF(C885="","",IFERROR(INDEX('Produtos'!$B$5:$B$204,MATCH(C885,'Produtos'!$A$5:$A$204,0)),"Código não cadastrado"))</f>
        <v/>
      </c>
      <c r="E885" s="58" t="n"/>
      <c r="F885" s="61" t="n"/>
      <c r="G885" s="59" t="n"/>
      <c r="H885" s="59" t="n"/>
      <c r="I885" s="67">
        <f>IF(OR(A885="",C885=""),"",IFERROR(INDEX('Produtos'!$F$5:$F$204,MATCH(C885,'Produtos'!$A$5:$A$204,0))+SUMIFS($F$5:$F$1004,$C$5:$C$1004,C885,$E$5:$E$1004,"Entrada",$A$5:$A$1004,"&lt;="&amp;A885)-SUMIFS($F$5:$F$1004,$C$5:$C$1004,C885,$E$5:$E$1004,"Saída",$A$5:$A$1004,"&lt;="&amp;A885),""))</f>
        <v/>
      </c>
      <c r="J885" s="68">
        <f>IF(A885="","",A885+ROW()/100000)</f>
        <v/>
      </c>
    </row>
    <row r="886">
      <c r="A886" s="65" t="n"/>
      <c r="B886" s="58" t="n"/>
      <c r="C886" s="58" t="n"/>
      <c r="D886" s="66">
        <f>IF(C886="","",IFERROR(INDEX('Produtos'!$B$5:$B$204,MATCH(C886,'Produtos'!$A$5:$A$204,0)),"Código não cadastrado"))</f>
        <v/>
      </c>
      <c r="E886" s="58" t="n"/>
      <c r="F886" s="61" t="n"/>
      <c r="G886" s="59" t="n"/>
      <c r="H886" s="59" t="n"/>
      <c r="I886" s="67">
        <f>IF(OR(A886="",C886=""),"",IFERROR(INDEX('Produtos'!$F$5:$F$204,MATCH(C886,'Produtos'!$A$5:$A$204,0))+SUMIFS($F$5:$F$1004,$C$5:$C$1004,C886,$E$5:$E$1004,"Entrada",$A$5:$A$1004,"&lt;="&amp;A886)-SUMIFS($F$5:$F$1004,$C$5:$C$1004,C886,$E$5:$E$1004,"Saída",$A$5:$A$1004,"&lt;="&amp;A886),""))</f>
        <v/>
      </c>
      <c r="J886" s="68">
        <f>IF(A886="","",A886+ROW()/100000)</f>
        <v/>
      </c>
    </row>
    <row r="887">
      <c r="A887" s="65" t="n"/>
      <c r="B887" s="58" t="n"/>
      <c r="C887" s="58" t="n"/>
      <c r="D887" s="66">
        <f>IF(C887="","",IFERROR(INDEX('Produtos'!$B$5:$B$204,MATCH(C887,'Produtos'!$A$5:$A$204,0)),"Código não cadastrado"))</f>
        <v/>
      </c>
      <c r="E887" s="58" t="n"/>
      <c r="F887" s="61" t="n"/>
      <c r="G887" s="59" t="n"/>
      <c r="H887" s="59" t="n"/>
      <c r="I887" s="67">
        <f>IF(OR(A887="",C887=""),"",IFERROR(INDEX('Produtos'!$F$5:$F$204,MATCH(C887,'Produtos'!$A$5:$A$204,0))+SUMIFS($F$5:$F$1004,$C$5:$C$1004,C887,$E$5:$E$1004,"Entrada",$A$5:$A$1004,"&lt;="&amp;A887)-SUMIFS($F$5:$F$1004,$C$5:$C$1004,C887,$E$5:$E$1004,"Saída",$A$5:$A$1004,"&lt;="&amp;A887),""))</f>
        <v/>
      </c>
      <c r="J887" s="68">
        <f>IF(A887="","",A887+ROW()/100000)</f>
        <v/>
      </c>
    </row>
    <row r="888">
      <c r="A888" s="65" t="n"/>
      <c r="B888" s="58" t="n"/>
      <c r="C888" s="58" t="n"/>
      <c r="D888" s="66">
        <f>IF(C888="","",IFERROR(INDEX('Produtos'!$B$5:$B$204,MATCH(C888,'Produtos'!$A$5:$A$204,0)),"Código não cadastrado"))</f>
        <v/>
      </c>
      <c r="E888" s="58" t="n"/>
      <c r="F888" s="61" t="n"/>
      <c r="G888" s="59" t="n"/>
      <c r="H888" s="59" t="n"/>
      <c r="I888" s="67">
        <f>IF(OR(A888="",C888=""),"",IFERROR(INDEX('Produtos'!$F$5:$F$204,MATCH(C888,'Produtos'!$A$5:$A$204,0))+SUMIFS($F$5:$F$1004,$C$5:$C$1004,C888,$E$5:$E$1004,"Entrada",$A$5:$A$1004,"&lt;="&amp;A888)-SUMIFS($F$5:$F$1004,$C$5:$C$1004,C888,$E$5:$E$1004,"Saída",$A$5:$A$1004,"&lt;="&amp;A888),""))</f>
        <v/>
      </c>
      <c r="J888" s="68">
        <f>IF(A888="","",A888+ROW()/100000)</f>
        <v/>
      </c>
    </row>
    <row r="889">
      <c r="A889" s="65" t="n"/>
      <c r="B889" s="58" t="n"/>
      <c r="C889" s="58" t="n"/>
      <c r="D889" s="66">
        <f>IF(C889="","",IFERROR(INDEX('Produtos'!$B$5:$B$204,MATCH(C889,'Produtos'!$A$5:$A$204,0)),"Código não cadastrado"))</f>
        <v/>
      </c>
      <c r="E889" s="58" t="n"/>
      <c r="F889" s="61" t="n"/>
      <c r="G889" s="59" t="n"/>
      <c r="H889" s="59" t="n"/>
      <c r="I889" s="67">
        <f>IF(OR(A889="",C889=""),"",IFERROR(INDEX('Produtos'!$F$5:$F$204,MATCH(C889,'Produtos'!$A$5:$A$204,0))+SUMIFS($F$5:$F$1004,$C$5:$C$1004,C889,$E$5:$E$1004,"Entrada",$A$5:$A$1004,"&lt;="&amp;A889)-SUMIFS($F$5:$F$1004,$C$5:$C$1004,C889,$E$5:$E$1004,"Saída",$A$5:$A$1004,"&lt;="&amp;A889),""))</f>
        <v/>
      </c>
      <c r="J889" s="68">
        <f>IF(A889="","",A889+ROW()/100000)</f>
        <v/>
      </c>
    </row>
    <row r="890">
      <c r="A890" s="65" t="n"/>
      <c r="B890" s="58" t="n"/>
      <c r="C890" s="58" t="n"/>
      <c r="D890" s="66">
        <f>IF(C890="","",IFERROR(INDEX('Produtos'!$B$5:$B$204,MATCH(C890,'Produtos'!$A$5:$A$204,0)),"Código não cadastrado"))</f>
        <v/>
      </c>
      <c r="E890" s="58" t="n"/>
      <c r="F890" s="61" t="n"/>
      <c r="G890" s="59" t="n"/>
      <c r="H890" s="59" t="n"/>
      <c r="I890" s="67">
        <f>IF(OR(A890="",C890=""),"",IFERROR(INDEX('Produtos'!$F$5:$F$204,MATCH(C890,'Produtos'!$A$5:$A$204,0))+SUMIFS($F$5:$F$1004,$C$5:$C$1004,C890,$E$5:$E$1004,"Entrada",$A$5:$A$1004,"&lt;="&amp;A890)-SUMIFS($F$5:$F$1004,$C$5:$C$1004,C890,$E$5:$E$1004,"Saída",$A$5:$A$1004,"&lt;="&amp;A890),""))</f>
        <v/>
      </c>
      <c r="J890" s="68">
        <f>IF(A890="","",A890+ROW()/100000)</f>
        <v/>
      </c>
    </row>
    <row r="891">
      <c r="A891" s="65" t="n"/>
      <c r="B891" s="58" t="n"/>
      <c r="C891" s="58" t="n"/>
      <c r="D891" s="66">
        <f>IF(C891="","",IFERROR(INDEX('Produtos'!$B$5:$B$204,MATCH(C891,'Produtos'!$A$5:$A$204,0)),"Código não cadastrado"))</f>
        <v/>
      </c>
      <c r="E891" s="58" t="n"/>
      <c r="F891" s="61" t="n"/>
      <c r="G891" s="59" t="n"/>
      <c r="H891" s="59" t="n"/>
      <c r="I891" s="67">
        <f>IF(OR(A891="",C891=""),"",IFERROR(INDEX('Produtos'!$F$5:$F$204,MATCH(C891,'Produtos'!$A$5:$A$204,0))+SUMIFS($F$5:$F$1004,$C$5:$C$1004,C891,$E$5:$E$1004,"Entrada",$A$5:$A$1004,"&lt;="&amp;A891)-SUMIFS($F$5:$F$1004,$C$5:$C$1004,C891,$E$5:$E$1004,"Saída",$A$5:$A$1004,"&lt;="&amp;A891),""))</f>
        <v/>
      </c>
      <c r="J891" s="68">
        <f>IF(A891="","",A891+ROW()/100000)</f>
        <v/>
      </c>
    </row>
    <row r="892">
      <c r="A892" s="65" t="n"/>
      <c r="B892" s="58" t="n"/>
      <c r="C892" s="58" t="n"/>
      <c r="D892" s="66">
        <f>IF(C892="","",IFERROR(INDEX('Produtos'!$B$5:$B$204,MATCH(C892,'Produtos'!$A$5:$A$204,0)),"Código não cadastrado"))</f>
        <v/>
      </c>
      <c r="E892" s="58" t="n"/>
      <c r="F892" s="61" t="n"/>
      <c r="G892" s="59" t="n"/>
      <c r="H892" s="59" t="n"/>
      <c r="I892" s="67">
        <f>IF(OR(A892="",C892=""),"",IFERROR(INDEX('Produtos'!$F$5:$F$204,MATCH(C892,'Produtos'!$A$5:$A$204,0))+SUMIFS($F$5:$F$1004,$C$5:$C$1004,C892,$E$5:$E$1004,"Entrada",$A$5:$A$1004,"&lt;="&amp;A892)-SUMIFS($F$5:$F$1004,$C$5:$C$1004,C892,$E$5:$E$1004,"Saída",$A$5:$A$1004,"&lt;="&amp;A892),""))</f>
        <v/>
      </c>
      <c r="J892" s="68">
        <f>IF(A892="","",A892+ROW()/100000)</f>
        <v/>
      </c>
    </row>
    <row r="893">
      <c r="A893" s="65" t="n"/>
      <c r="B893" s="58" t="n"/>
      <c r="C893" s="58" t="n"/>
      <c r="D893" s="66">
        <f>IF(C893="","",IFERROR(INDEX('Produtos'!$B$5:$B$204,MATCH(C893,'Produtos'!$A$5:$A$204,0)),"Código não cadastrado"))</f>
        <v/>
      </c>
      <c r="E893" s="58" t="n"/>
      <c r="F893" s="61" t="n"/>
      <c r="G893" s="59" t="n"/>
      <c r="H893" s="59" t="n"/>
      <c r="I893" s="67">
        <f>IF(OR(A893="",C893=""),"",IFERROR(INDEX('Produtos'!$F$5:$F$204,MATCH(C893,'Produtos'!$A$5:$A$204,0))+SUMIFS($F$5:$F$1004,$C$5:$C$1004,C893,$E$5:$E$1004,"Entrada",$A$5:$A$1004,"&lt;="&amp;A893)-SUMIFS($F$5:$F$1004,$C$5:$C$1004,C893,$E$5:$E$1004,"Saída",$A$5:$A$1004,"&lt;="&amp;A893),""))</f>
        <v/>
      </c>
      <c r="J893" s="68">
        <f>IF(A893="","",A893+ROW()/100000)</f>
        <v/>
      </c>
    </row>
    <row r="894">
      <c r="A894" s="65" t="n"/>
      <c r="B894" s="58" t="n"/>
      <c r="C894" s="58" t="n"/>
      <c r="D894" s="66">
        <f>IF(C894="","",IFERROR(INDEX('Produtos'!$B$5:$B$204,MATCH(C894,'Produtos'!$A$5:$A$204,0)),"Código não cadastrado"))</f>
        <v/>
      </c>
      <c r="E894" s="58" t="n"/>
      <c r="F894" s="61" t="n"/>
      <c r="G894" s="59" t="n"/>
      <c r="H894" s="59" t="n"/>
      <c r="I894" s="67">
        <f>IF(OR(A894="",C894=""),"",IFERROR(INDEX('Produtos'!$F$5:$F$204,MATCH(C894,'Produtos'!$A$5:$A$204,0))+SUMIFS($F$5:$F$1004,$C$5:$C$1004,C894,$E$5:$E$1004,"Entrada",$A$5:$A$1004,"&lt;="&amp;A894)-SUMIFS($F$5:$F$1004,$C$5:$C$1004,C894,$E$5:$E$1004,"Saída",$A$5:$A$1004,"&lt;="&amp;A894),""))</f>
        <v/>
      </c>
      <c r="J894" s="68">
        <f>IF(A894="","",A894+ROW()/100000)</f>
        <v/>
      </c>
    </row>
    <row r="895">
      <c r="A895" s="65" t="n"/>
      <c r="B895" s="58" t="n"/>
      <c r="C895" s="58" t="n"/>
      <c r="D895" s="66">
        <f>IF(C895="","",IFERROR(INDEX('Produtos'!$B$5:$B$204,MATCH(C895,'Produtos'!$A$5:$A$204,0)),"Código não cadastrado"))</f>
        <v/>
      </c>
      <c r="E895" s="58" t="n"/>
      <c r="F895" s="61" t="n"/>
      <c r="G895" s="59" t="n"/>
      <c r="H895" s="59" t="n"/>
      <c r="I895" s="67">
        <f>IF(OR(A895="",C895=""),"",IFERROR(INDEX('Produtos'!$F$5:$F$204,MATCH(C895,'Produtos'!$A$5:$A$204,0))+SUMIFS($F$5:$F$1004,$C$5:$C$1004,C895,$E$5:$E$1004,"Entrada",$A$5:$A$1004,"&lt;="&amp;A895)-SUMIFS($F$5:$F$1004,$C$5:$C$1004,C895,$E$5:$E$1004,"Saída",$A$5:$A$1004,"&lt;="&amp;A895),""))</f>
        <v/>
      </c>
      <c r="J895" s="68">
        <f>IF(A895="","",A895+ROW()/100000)</f>
        <v/>
      </c>
    </row>
    <row r="896">
      <c r="A896" s="65" t="n"/>
      <c r="B896" s="58" t="n"/>
      <c r="C896" s="58" t="n"/>
      <c r="D896" s="66">
        <f>IF(C896="","",IFERROR(INDEX('Produtos'!$B$5:$B$204,MATCH(C896,'Produtos'!$A$5:$A$204,0)),"Código não cadastrado"))</f>
        <v/>
      </c>
      <c r="E896" s="58" t="n"/>
      <c r="F896" s="61" t="n"/>
      <c r="G896" s="59" t="n"/>
      <c r="H896" s="59" t="n"/>
      <c r="I896" s="67">
        <f>IF(OR(A896="",C896=""),"",IFERROR(INDEX('Produtos'!$F$5:$F$204,MATCH(C896,'Produtos'!$A$5:$A$204,0))+SUMIFS($F$5:$F$1004,$C$5:$C$1004,C896,$E$5:$E$1004,"Entrada",$A$5:$A$1004,"&lt;="&amp;A896)-SUMIFS($F$5:$F$1004,$C$5:$C$1004,C896,$E$5:$E$1004,"Saída",$A$5:$A$1004,"&lt;="&amp;A896),""))</f>
        <v/>
      </c>
      <c r="J896" s="68">
        <f>IF(A896="","",A896+ROW()/100000)</f>
        <v/>
      </c>
    </row>
    <row r="897">
      <c r="A897" s="65" t="n"/>
      <c r="B897" s="58" t="n"/>
      <c r="C897" s="58" t="n"/>
      <c r="D897" s="66">
        <f>IF(C897="","",IFERROR(INDEX('Produtos'!$B$5:$B$204,MATCH(C897,'Produtos'!$A$5:$A$204,0)),"Código não cadastrado"))</f>
        <v/>
      </c>
      <c r="E897" s="58" t="n"/>
      <c r="F897" s="61" t="n"/>
      <c r="G897" s="59" t="n"/>
      <c r="H897" s="59" t="n"/>
      <c r="I897" s="67">
        <f>IF(OR(A897="",C897=""),"",IFERROR(INDEX('Produtos'!$F$5:$F$204,MATCH(C897,'Produtos'!$A$5:$A$204,0))+SUMIFS($F$5:$F$1004,$C$5:$C$1004,C897,$E$5:$E$1004,"Entrada",$A$5:$A$1004,"&lt;="&amp;A897)-SUMIFS($F$5:$F$1004,$C$5:$C$1004,C897,$E$5:$E$1004,"Saída",$A$5:$A$1004,"&lt;="&amp;A897),""))</f>
        <v/>
      </c>
      <c r="J897" s="68">
        <f>IF(A897="","",A897+ROW()/100000)</f>
        <v/>
      </c>
    </row>
    <row r="898">
      <c r="A898" s="65" t="n"/>
      <c r="B898" s="58" t="n"/>
      <c r="C898" s="58" t="n"/>
      <c r="D898" s="66">
        <f>IF(C898="","",IFERROR(INDEX('Produtos'!$B$5:$B$204,MATCH(C898,'Produtos'!$A$5:$A$204,0)),"Código não cadastrado"))</f>
        <v/>
      </c>
      <c r="E898" s="58" t="n"/>
      <c r="F898" s="61" t="n"/>
      <c r="G898" s="59" t="n"/>
      <c r="H898" s="59" t="n"/>
      <c r="I898" s="67">
        <f>IF(OR(A898="",C898=""),"",IFERROR(INDEX('Produtos'!$F$5:$F$204,MATCH(C898,'Produtos'!$A$5:$A$204,0))+SUMIFS($F$5:$F$1004,$C$5:$C$1004,C898,$E$5:$E$1004,"Entrada",$A$5:$A$1004,"&lt;="&amp;A898)-SUMIFS($F$5:$F$1004,$C$5:$C$1004,C898,$E$5:$E$1004,"Saída",$A$5:$A$1004,"&lt;="&amp;A898),""))</f>
        <v/>
      </c>
      <c r="J898" s="68">
        <f>IF(A898="","",A898+ROW()/100000)</f>
        <v/>
      </c>
    </row>
    <row r="899">
      <c r="A899" s="65" t="n"/>
      <c r="B899" s="58" t="n"/>
      <c r="C899" s="58" t="n"/>
      <c r="D899" s="66">
        <f>IF(C899="","",IFERROR(INDEX('Produtos'!$B$5:$B$204,MATCH(C899,'Produtos'!$A$5:$A$204,0)),"Código não cadastrado"))</f>
        <v/>
      </c>
      <c r="E899" s="58" t="n"/>
      <c r="F899" s="61" t="n"/>
      <c r="G899" s="59" t="n"/>
      <c r="H899" s="59" t="n"/>
      <c r="I899" s="67">
        <f>IF(OR(A899="",C899=""),"",IFERROR(INDEX('Produtos'!$F$5:$F$204,MATCH(C899,'Produtos'!$A$5:$A$204,0))+SUMIFS($F$5:$F$1004,$C$5:$C$1004,C899,$E$5:$E$1004,"Entrada",$A$5:$A$1004,"&lt;="&amp;A899)-SUMIFS($F$5:$F$1004,$C$5:$C$1004,C899,$E$5:$E$1004,"Saída",$A$5:$A$1004,"&lt;="&amp;A899),""))</f>
        <v/>
      </c>
      <c r="J899" s="68">
        <f>IF(A899="","",A899+ROW()/100000)</f>
        <v/>
      </c>
    </row>
    <row r="900">
      <c r="A900" s="65" t="n"/>
      <c r="B900" s="58" t="n"/>
      <c r="C900" s="58" t="n"/>
      <c r="D900" s="66">
        <f>IF(C900="","",IFERROR(INDEX('Produtos'!$B$5:$B$204,MATCH(C900,'Produtos'!$A$5:$A$204,0)),"Código não cadastrado"))</f>
        <v/>
      </c>
      <c r="E900" s="58" t="n"/>
      <c r="F900" s="61" t="n"/>
      <c r="G900" s="59" t="n"/>
      <c r="H900" s="59" t="n"/>
      <c r="I900" s="67">
        <f>IF(OR(A900="",C900=""),"",IFERROR(INDEX('Produtos'!$F$5:$F$204,MATCH(C900,'Produtos'!$A$5:$A$204,0))+SUMIFS($F$5:$F$1004,$C$5:$C$1004,C900,$E$5:$E$1004,"Entrada",$A$5:$A$1004,"&lt;="&amp;A900)-SUMIFS($F$5:$F$1004,$C$5:$C$1004,C900,$E$5:$E$1004,"Saída",$A$5:$A$1004,"&lt;="&amp;A900),""))</f>
        <v/>
      </c>
      <c r="J900" s="68">
        <f>IF(A900="","",A900+ROW()/100000)</f>
        <v/>
      </c>
    </row>
    <row r="901">
      <c r="A901" s="65" t="n"/>
      <c r="B901" s="58" t="n"/>
      <c r="C901" s="58" t="n"/>
      <c r="D901" s="66">
        <f>IF(C901="","",IFERROR(INDEX('Produtos'!$B$5:$B$204,MATCH(C901,'Produtos'!$A$5:$A$204,0)),"Código não cadastrado"))</f>
        <v/>
      </c>
      <c r="E901" s="58" t="n"/>
      <c r="F901" s="61" t="n"/>
      <c r="G901" s="59" t="n"/>
      <c r="H901" s="59" t="n"/>
      <c r="I901" s="67">
        <f>IF(OR(A901="",C901=""),"",IFERROR(INDEX('Produtos'!$F$5:$F$204,MATCH(C901,'Produtos'!$A$5:$A$204,0))+SUMIFS($F$5:$F$1004,$C$5:$C$1004,C901,$E$5:$E$1004,"Entrada",$A$5:$A$1004,"&lt;="&amp;A901)-SUMIFS($F$5:$F$1004,$C$5:$C$1004,C901,$E$5:$E$1004,"Saída",$A$5:$A$1004,"&lt;="&amp;A901),""))</f>
        <v/>
      </c>
      <c r="J901" s="68">
        <f>IF(A901="","",A901+ROW()/100000)</f>
        <v/>
      </c>
    </row>
    <row r="902">
      <c r="A902" s="65" t="n"/>
      <c r="B902" s="58" t="n"/>
      <c r="C902" s="58" t="n"/>
      <c r="D902" s="66">
        <f>IF(C902="","",IFERROR(INDEX('Produtos'!$B$5:$B$204,MATCH(C902,'Produtos'!$A$5:$A$204,0)),"Código não cadastrado"))</f>
        <v/>
      </c>
      <c r="E902" s="58" t="n"/>
      <c r="F902" s="61" t="n"/>
      <c r="G902" s="59" t="n"/>
      <c r="H902" s="59" t="n"/>
      <c r="I902" s="67">
        <f>IF(OR(A902="",C902=""),"",IFERROR(INDEX('Produtos'!$F$5:$F$204,MATCH(C902,'Produtos'!$A$5:$A$204,0))+SUMIFS($F$5:$F$1004,$C$5:$C$1004,C902,$E$5:$E$1004,"Entrada",$A$5:$A$1004,"&lt;="&amp;A902)-SUMIFS($F$5:$F$1004,$C$5:$C$1004,C902,$E$5:$E$1004,"Saída",$A$5:$A$1004,"&lt;="&amp;A902),""))</f>
        <v/>
      </c>
      <c r="J902" s="68">
        <f>IF(A902="","",A902+ROW()/100000)</f>
        <v/>
      </c>
    </row>
    <row r="903">
      <c r="A903" s="65" t="n"/>
      <c r="B903" s="58" t="n"/>
      <c r="C903" s="58" t="n"/>
      <c r="D903" s="66">
        <f>IF(C903="","",IFERROR(INDEX('Produtos'!$B$5:$B$204,MATCH(C903,'Produtos'!$A$5:$A$204,0)),"Código não cadastrado"))</f>
        <v/>
      </c>
      <c r="E903" s="58" t="n"/>
      <c r="F903" s="61" t="n"/>
      <c r="G903" s="59" t="n"/>
      <c r="H903" s="59" t="n"/>
      <c r="I903" s="67">
        <f>IF(OR(A903="",C903=""),"",IFERROR(INDEX('Produtos'!$F$5:$F$204,MATCH(C903,'Produtos'!$A$5:$A$204,0))+SUMIFS($F$5:$F$1004,$C$5:$C$1004,C903,$E$5:$E$1004,"Entrada",$A$5:$A$1004,"&lt;="&amp;A903)-SUMIFS($F$5:$F$1004,$C$5:$C$1004,C903,$E$5:$E$1004,"Saída",$A$5:$A$1004,"&lt;="&amp;A903),""))</f>
        <v/>
      </c>
      <c r="J903" s="68">
        <f>IF(A903="","",A903+ROW()/100000)</f>
        <v/>
      </c>
    </row>
    <row r="904">
      <c r="A904" s="65" t="n"/>
      <c r="B904" s="58" t="n"/>
      <c r="C904" s="58" t="n"/>
      <c r="D904" s="66">
        <f>IF(C904="","",IFERROR(INDEX('Produtos'!$B$5:$B$204,MATCH(C904,'Produtos'!$A$5:$A$204,0)),"Código não cadastrado"))</f>
        <v/>
      </c>
      <c r="E904" s="58" t="n"/>
      <c r="F904" s="61" t="n"/>
      <c r="G904" s="59" t="n"/>
      <c r="H904" s="59" t="n"/>
      <c r="I904" s="67">
        <f>IF(OR(A904="",C904=""),"",IFERROR(INDEX('Produtos'!$F$5:$F$204,MATCH(C904,'Produtos'!$A$5:$A$204,0))+SUMIFS($F$5:$F$1004,$C$5:$C$1004,C904,$E$5:$E$1004,"Entrada",$A$5:$A$1004,"&lt;="&amp;A904)-SUMIFS($F$5:$F$1004,$C$5:$C$1004,C904,$E$5:$E$1004,"Saída",$A$5:$A$1004,"&lt;="&amp;A904),""))</f>
        <v/>
      </c>
      <c r="J904" s="68">
        <f>IF(A904="","",A904+ROW()/100000)</f>
        <v/>
      </c>
    </row>
    <row r="905">
      <c r="A905" s="65" t="n"/>
      <c r="B905" s="58" t="n"/>
      <c r="C905" s="58" t="n"/>
      <c r="D905" s="66">
        <f>IF(C905="","",IFERROR(INDEX('Produtos'!$B$5:$B$204,MATCH(C905,'Produtos'!$A$5:$A$204,0)),"Código não cadastrado"))</f>
        <v/>
      </c>
      <c r="E905" s="58" t="n"/>
      <c r="F905" s="61" t="n"/>
      <c r="G905" s="59" t="n"/>
      <c r="H905" s="59" t="n"/>
      <c r="I905" s="67">
        <f>IF(OR(A905="",C905=""),"",IFERROR(INDEX('Produtos'!$F$5:$F$204,MATCH(C905,'Produtos'!$A$5:$A$204,0))+SUMIFS($F$5:$F$1004,$C$5:$C$1004,C905,$E$5:$E$1004,"Entrada",$A$5:$A$1004,"&lt;="&amp;A905)-SUMIFS($F$5:$F$1004,$C$5:$C$1004,C905,$E$5:$E$1004,"Saída",$A$5:$A$1004,"&lt;="&amp;A905),""))</f>
        <v/>
      </c>
      <c r="J905" s="68">
        <f>IF(A905="","",A905+ROW()/100000)</f>
        <v/>
      </c>
    </row>
    <row r="906">
      <c r="A906" s="65" t="n"/>
      <c r="B906" s="58" t="n"/>
      <c r="C906" s="58" t="n"/>
      <c r="D906" s="66">
        <f>IF(C906="","",IFERROR(INDEX('Produtos'!$B$5:$B$204,MATCH(C906,'Produtos'!$A$5:$A$204,0)),"Código não cadastrado"))</f>
        <v/>
      </c>
      <c r="E906" s="58" t="n"/>
      <c r="F906" s="61" t="n"/>
      <c r="G906" s="59" t="n"/>
      <c r="H906" s="59" t="n"/>
      <c r="I906" s="67">
        <f>IF(OR(A906="",C906=""),"",IFERROR(INDEX('Produtos'!$F$5:$F$204,MATCH(C906,'Produtos'!$A$5:$A$204,0))+SUMIFS($F$5:$F$1004,$C$5:$C$1004,C906,$E$5:$E$1004,"Entrada",$A$5:$A$1004,"&lt;="&amp;A906)-SUMIFS($F$5:$F$1004,$C$5:$C$1004,C906,$E$5:$E$1004,"Saída",$A$5:$A$1004,"&lt;="&amp;A906),""))</f>
        <v/>
      </c>
      <c r="J906" s="68">
        <f>IF(A906="","",A906+ROW()/100000)</f>
        <v/>
      </c>
    </row>
    <row r="907">
      <c r="A907" s="65" t="n"/>
      <c r="B907" s="58" t="n"/>
      <c r="C907" s="58" t="n"/>
      <c r="D907" s="66">
        <f>IF(C907="","",IFERROR(INDEX('Produtos'!$B$5:$B$204,MATCH(C907,'Produtos'!$A$5:$A$204,0)),"Código não cadastrado"))</f>
        <v/>
      </c>
      <c r="E907" s="58" t="n"/>
      <c r="F907" s="61" t="n"/>
      <c r="G907" s="59" t="n"/>
      <c r="H907" s="59" t="n"/>
      <c r="I907" s="67">
        <f>IF(OR(A907="",C907=""),"",IFERROR(INDEX('Produtos'!$F$5:$F$204,MATCH(C907,'Produtos'!$A$5:$A$204,0))+SUMIFS($F$5:$F$1004,$C$5:$C$1004,C907,$E$5:$E$1004,"Entrada",$A$5:$A$1004,"&lt;="&amp;A907)-SUMIFS($F$5:$F$1004,$C$5:$C$1004,C907,$E$5:$E$1004,"Saída",$A$5:$A$1004,"&lt;="&amp;A907),""))</f>
        <v/>
      </c>
      <c r="J907" s="68">
        <f>IF(A907="","",A907+ROW()/100000)</f>
        <v/>
      </c>
    </row>
    <row r="908">
      <c r="A908" s="65" t="n"/>
      <c r="B908" s="58" t="n"/>
      <c r="C908" s="58" t="n"/>
      <c r="D908" s="66">
        <f>IF(C908="","",IFERROR(INDEX('Produtos'!$B$5:$B$204,MATCH(C908,'Produtos'!$A$5:$A$204,0)),"Código não cadastrado"))</f>
        <v/>
      </c>
      <c r="E908" s="58" t="n"/>
      <c r="F908" s="61" t="n"/>
      <c r="G908" s="59" t="n"/>
      <c r="H908" s="59" t="n"/>
      <c r="I908" s="67">
        <f>IF(OR(A908="",C908=""),"",IFERROR(INDEX('Produtos'!$F$5:$F$204,MATCH(C908,'Produtos'!$A$5:$A$204,0))+SUMIFS($F$5:$F$1004,$C$5:$C$1004,C908,$E$5:$E$1004,"Entrada",$A$5:$A$1004,"&lt;="&amp;A908)-SUMIFS($F$5:$F$1004,$C$5:$C$1004,C908,$E$5:$E$1004,"Saída",$A$5:$A$1004,"&lt;="&amp;A908),""))</f>
        <v/>
      </c>
      <c r="J908" s="68">
        <f>IF(A908="","",A908+ROW()/100000)</f>
        <v/>
      </c>
    </row>
    <row r="909">
      <c r="A909" s="65" t="n"/>
      <c r="B909" s="58" t="n"/>
      <c r="C909" s="58" t="n"/>
      <c r="D909" s="66">
        <f>IF(C909="","",IFERROR(INDEX('Produtos'!$B$5:$B$204,MATCH(C909,'Produtos'!$A$5:$A$204,0)),"Código não cadastrado"))</f>
        <v/>
      </c>
      <c r="E909" s="58" t="n"/>
      <c r="F909" s="61" t="n"/>
      <c r="G909" s="59" t="n"/>
      <c r="H909" s="59" t="n"/>
      <c r="I909" s="67">
        <f>IF(OR(A909="",C909=""),"",IFERROR(INDEX('Produtos'!$F$5:$F$204,MATCH(C909,'Produtos'!$A$5:$A$204,0))+SUMIFS($F$5:$F$1004,$C$5:$C$1004,C909,$E$5:$E$1004,"Entrada",$A$5:$A$1004,"&lt;="&amp;A909)-SUMIFS($F$5:$F$1004,$C$5:$C$1004,C909,$E$5:$E$1004,"Saída",$A$5:$A$1004,"&lt;="&amp;A909),""))</f>
        <v/>
      </c>
      <c r="J909" s="68">
        <f>IF(A909="","",A909+ROW()/100000)</f>
        <v/>
      </c>
    </row>
    <row r="910">
      <c r="A910" s="65" t="n"/>
      <c r="B910" s="58" t="n"/>
      <c r="C910" s="58" t="n"/>
      <c r="D910" s="66">
        <f>IF(C910="","",IFERROR(INDEX('Produtos'!$B$5:$B$204,MATCH(C910,'Produtos'!$A$5:$A$204,0)),"Código não cadastrado"))</f>
        <v/>
      </c>
      <c r="E910" s="58" t="n"/>
      <c r="F910" s="61" t="n"/>
      <c r="G910" s="59" t="n"/>
      <c r="H910" s="59" t="n"/>
      <c r="I910" s="67">
        <f>IF(OR(A910="",C910=""),"",IFERROR(INDEX('Produtos'!$F$5:$F$204,MATCH(C910,'Produtos'!$A$5:$A$204,0))+SUMIFS($F$5:$F$1004,$C$5:$C$1004,C910,$E$5:$E$1004,"Entrada",$A$5:$A$1004,"&lt;="&amp;A910)-SUMIFS($F$5:$F$1004,$C$5:$C$1004,C910,$E$5:$E$1004,"Saída",$A$5:$A$1004,"&lt;="&amp;A910),""))</f>
        <v/>
      </c>
      <c r="J910" s="68">
        <f>IF(A910="","",A910+ROW()/100000)</f>
        <v/>
      </c>
    </row>
    <row r="911">
      <c r="A911" s="65" t="n"/>
      <c r="B911" s="58" t="n"/>
      <c r="C911" s="58" t="n"/>
      <c r="D911" s="66">
        <f>IF(C911="","",IFERROR(INDEX('Produtos'!$B$5:$B$204,MATCH(C911,'Produtos'!$A$5:$A$204,0)),"Código não cadastrado"))</f>
        <v/>
      </c>
      <c r="E911" s="58" t="n"/>
      <c r="F911" s="61" t="n"/>
      <c r="G911" s="59" t="n"/>
      <c r="H911" s="59" t="n"/>
      <c r="I911" s="67">
        <f>IF(OR(A911="",C911=""),"",IFERROR(INDEX('Produtos'!$F$5:$F$204,MATCH(C911,'Produtos'!$A$5:$A$204,0))+SUMIFS($F$5:$F$1004,$C$5:$C$1004,C911,$E$5:$E$1004,"Entrada",$A$5:$A$1004,"&lt;="&amp;A911)-SUMIFS($F$5:$F$1004,$C$5:$C$1004,C911,$E$5:$E$1004,"Saída",$A$5:$A$1004,"&lt;="&amp;A911),""))</f>
        <v/>
      </c>
      <c r="J911" s="68">
        <f>IF(A911="","",A911+ROW()/100000)</f>
        <v/>
      </c>
    </row>
    <row r="912">
      <c r="A912" s="65" t="n"/>
      <c r="B912" s="58" t="n"/>
      <c r="C912" s="58" t="n"/>
      <c r="D912" s="66">
        <f>IF(C912="","",IFERROR(INDEX('Produtos'!$B$5:$B$204,MATCH(C912,'Produtos'!$A$5:$A$204,0)),"Código não cadastrado"))</f>
        <v/>
      </c>
      <c r="E912" s="58" t="n"/>
      <c r="F912" s="61" t="n"/>
      <c r="G912" s="59" t="n"/>
      <c r="H912" s="59" t="n"/>
      <c r="I912" s="67">
        <f>IF(OR(A912="",C912=""),"",IFERROR(INDEX('Produtos'!$F$5:$F$204,MATCH(C912,'Produtos'!$A$5:$A$204,0))+SUMIFS($F$5:$F$1004,$C$5:$C$1004,C912,$E$5:$E$1004,"Entrada",$A$5:$A$1004,"&lt;="&amp;A912)-SUMIFS($F$5:$F$1004,$C$5:$C$1004,C912,$E$5:$E$1004,"Saída",$A$5:$A$1004,"&lt;="&amp;A912),""))</f>
        <v/>
      </c>
      <c r="J912" s="68">
        <f>IF(A912="","",A912+ROW()/100000)</f>
        <v/>
      </c>
    </row>
    <row r="913">
      <c r="A913" s="65" t="n"/>
      <c r="B913" s="58" t="n"/>
      <c r="C913" s="58" t="n"/>
      <c r="D913" s="66">
        <f>IF(C913="","",IFERROR(INDEX('Produtos'!$B$5:$B$204,MATCH(C913,'Produtos'!$A$5:$A$204,0)),"Código não cadastrado"))</f>
        <v/>
      </c>
      <c r="E913" s="58" t="n"/>
      <c r="F913" s="61" t="n"/>
      <c r="G913" s="59" t="n"/>
      <c r="H913" s="59" t="n"/>
      <c r="I913" s="67">
        <f>IF(OR(A913="",C913=""),"",IFERROR(INDEX('Produtos'!$F$5:$F$204,MATCH(C913,'Produtos'!$A$5:$A$204,0))+SUMIFS($F$5:$F$1004,$C$5:$C$1004,C913,$E$5:$E$1004,"Entrada",$A$5:$A$1004,"&lt;="&amp;A913)-SUMIFS($F$5:$F$1004,$C$5:$C$1004,C913,$E$5:$E$1004,"Saída",$A$5:$A$1004,"&lt;="&amp;A913),""))</f>
        <v/>
      </c>
      <c r="J913" s="68">
        <f>IF(A913="","",A913+ROW()/100000)</f>
        <v/>
      </c>
    </row>
    <row r="914">
      <c r="A914" s="65" t="n"/>
      <c r="B914" s="58" t="n"/>
      <c r="C914" s="58" t="n"/>
      <c r="D914" s="66">
        <f>IF(C914="","",IFERROR(INDEX('Produtos'!$B$5:$B$204,MATCH(C914,'Produtos'!$A$5:$A$204,0)),"Código não cadastrado"))</f>
        <v/>
      </c>
      <c r="E914" s="58" t="n"/>
      <c r="F914" s="61" t="n"/>
      <c r="G914" s="59" t="n"/>
      <c r="H914" s="59" t="n"/>
      <c r="I914" s="67">
        <f>IF(OR(A914="",C914=""),"",IFERROR(INDEX('Produtos'!$F$5:$F$204,MATCH(C914,'Produtos'!$A$5:$A$204,0))+SUMIFS($F$5:$F$1004,$C$5:$C$1004,C914,$E$5:$E$1004,"Entrada",$A$5:$A$1004,"&lt;="&amp;A914)-SUMIFS($F$5:$F$1004,$C$5:$C$1004,C914,$E$5:$E$1004,"Saída",$A$5:$A$1004,"&lt;="&amp;A914),""))</f>
        <v/>
      </c>
      <c r="J914" s="68">
        <f>IF(A914="","",A914+ROW()/100000)</f>
        <v/>
      </c>
    </row>
    <row r="915">
      <c r="A915" s="65" t="n"/>
      <c r="B915" s="58" t="n"/>
      <c r="C915" s="58" t="n"/>
      <c r="D915" s="66">
        <f>IF(C915="","",IFERROR(INDEX('Produtos'!$B$5:$B$204,MATCH(C915,'Produtos'!$A$5:$A$204,0)),"Código não cadastrado"))</f>
        <v/>
      </c>
      <c r="E915" s="58" t="n"/>
      <c r="F915" s="61" t="n"/>
      <c r="G915" s="59" t="n"/>
      <c r="H915" s="59" t="n"/>
      <c r="I915" s="67">
        <f>IF(OR(A915="",C915=""),"",IFERROR(INDEX('Produtos'!$F$5:$F$204,MATCH(C915,'Produtos'!$A$5:$A$204,0))+SUMIFS($F$5:$F$1004,$C$5:$C$1004,C915,$E$5:$E$1004,"Entrada",$A$5:$A$1004,"&lt;="&amp;A915)-SUMIFS($F$5:$F$1004,$C$5:$C$1004,C915,$E$5:$E$1004,"Saída",$A$5:$A$1004,"&lt;="&amp;A915),""))</f>
        <v/>
      </c>
      <c r="J915" s="68">
        <f>IF(A915="","",A915+ROW()/100000)</f>
        <v/>
      </c>
    </row>
    <row r="916">
      <c r="A916" s="65" t="n"/>
      <c r="B916" s="58" t="n"/>
      <c r="C916" s="58" t="n"/>
      <c r="D916" s="66">
        <f>IF(C916="","",IFERROR(INDEX('Produtos'!$B$5:$B$204,MATCH(C916,'Produtos'!$A$5:$A$204,0)),"Código não cadastrado"))</f>
        <v/>
      </c>
      <c r="E916" s="58" t="n"/>
      <c r="F916" s="61" t="n"/>
      <c r="G916" s="59" t="n"/>
      <c r="H916" s="59" t="n"/>
      <c r="I916" s="67">
        <f>IF(OR(A916="",C916=""),"",IFERROR(INDEX('Produtos'!$F$5:$F$204,MATCH(C916,'Produtos'!$A$5:$A$204,0))+SUMIFS($F$5:$F$1004,$C$5:$C$1004,C916,$E$5:$E$1004,"Entrada",$A$5:$A$1004,"&lt;="&amp;A916)-SUMIFS($F$5:$F$1004,$C$5:$C$1004,C916,$E$5:$E$1004,"Saída",$A$5:$A$1004,"&lt;="&amp;A916),""))</f>
        <v/>
      </c>
      <c r="J916" s="68">
        <f>IF(A916="","",A916+ROW()/100000)</f>
        <v/>
      </c>
    </row>
    <row r="917">
      <c r="A917" s="65" t="n"/>
      <c r="B917" s="58" t="n"/>
      <c r="C917" s="58" t="n"/>
      <c r="D917" s="66">
        <f>IF(C917="","",IFERROR(INDEX('Produtos'!$B$5:$B$204,MATCH(C917,'Produtos'!$A$5:$A$204,0)),"Código não cadastrado"))</f>
        <v/>
      </c>
      <c r="E917" s="58" t="n"/>
      <c r="F917" s="61" t="n"/>
      <c r="G917" s="59" t="n"/>
      <c r="H917" s="59" t="n"/>
      <c r="I917" s="67">
        <f>IF(OR(A917="",C917=""),"",IFERROR(INDEX('Produtos'!$F$5:$F$204,MATCH(C917,'Produtos'!$A$5:$A$204,0))+SUMIFS($F$5:$F$1004,$C$5:$C$1004,C917,$E$5:$E$1004,"Entrada",$A$5:$A$1004,"&lt;="&amp;A917)-SUMIFS($F$5:$F$1004,$C$5:$C$1004,C917,$E$5:$E$1004,"Saída",$A$5:$A$1004,"&lt;="&amp;A917),""))</f>
        <v/>
      </c>
      <c r="J917" s="68">
        <f>IF(A917="","",A917+ROW()/100000)</f>
        <v/>
      </c>
    </row>
    <row r="918">
      <c r="A918" s="65" t="n"/>
      <c r="B918" s="58" t="n"/>
      <c r="C918" s="58" t="n"/>
      <c r="D918" s="66">
        <f>IF(C918="","",IFERROR(INDEX('Produtos'!$B$5:$B$204,MATCH(C918,'Produtos'!$A$5:$A$204,0)),"Código não cadastrado"))</f>
        <v/>
      </c>
      <c r="E918" s="58" t="n"/>
      <c r="F918" s="61" t="n"/>
      <c r="G918" s="59" t="n"/>
      <c r="H918" s="59" t="n"/>
      <c r="I918" s="67">
        <f>IF(OR(A918="",C918=""),"",IFERROR(INDEX('Produtos'!$F$5:$F$204,MATCH(C918,'Produtos'!$A$5:$A$204,0))+SUMIFS($F$5:$F$1004,$C$5:$C$1004,C918,$E$5:$E$1004,"Entrada",$A$5:$A$1004,"&lt;="&amp;A918)-SUMIFS($F$5:$F$1004,$C$5:$C$1004,C918,$E$5:$E$1004,"Saída",$A$5:$A$1004,"&lt;="&amp;A918),""))</f>
        <v/>
      </c>
      <c r="J918" s="68">
        <f>IF(A918="","",A918+ROW()/100000)</f>
        <v/>
      </c>
    </row>
    <row r="919">
      <c r="A919" s="65" t="n"/>
      <c r="B919" s="58" t="n"/>
      <c r="C919" s="58" t="n"/>
      <c r="D919" s="66">
        <f>IF(C919="","",IFERROR(INDEX('Produtos'!$B$5:$B$204,MATCH(C919,'Produtos'!$A$5:$A$204,0)),"Código não cadastrado"))</f>
        <v/>
      </c>
      <c r="E919" s="58" t="n"/>
      <c r="F919" s="61" t="n"/>
      <c r="G919" s="59" t="n"/>
      <c r="H919" s="59" t="n"/>
      <c r="I919" s="67">
        <f>IF(OR(A919="",C919=""),"",IFERROR(INDEX('Produtos'!$F$5:$F$204,MATCH(C919,'Produtos'!$A$5:$A$204,0))+SUMIFS($F$5:$F$1004,$C$5:$C$1004,C919,$E$5:$E$1004,"Entrada",$A$5:$A$1004,"&lt;="&amp;A919)-SUMIFS($F$5:$F$1004,$C$5:$C$1004,C919,$E$5:$E$1004,"Saída",$A$5:$A$1004,"&lt;="&amp;A919),""))</f>
        <v/>
      </c>
      <c r="J919" s="68">
        <f>IF(A919="","",A919+ROW()/100000)</f>
        <v/>
      </c>
    </row>
    <row r="920">
      <c r="A920" s="65" t="n"/>
      <c r="B920" s="58" t="n"/>
      <c r="C920" s="58" t="n"/>
      <c r="D920" s="66">
        <f>IF(C920="","",IFERROR(INDEX('Produtos'!$B$5:$B$204,MATCH(C920,'Produtos'!$A$5:$A$204,0)),"Código não cadastrado"))</f>
        <v/>
      </c>
      <c r="E920" s="58" t="n"/>
      <c r="F920" s="61" t="n"/>
      <c r="G920" s="59" t="n"/>
      <c r="H920" s="59" t="n"/>
      <c r="I920" s="67">
        <f>IF(OR(A920="",C920=""),"",IFERROR(INDEX('Produtos'!$F$5:$F$204,MATCH(C920,'Produtos'!$A$5:$A$204,0))+SUMIFS($F$5:$F$1004,$C$5:$C$1004,C920,$E$5:$E$1004,"Entrada",$A$5:$A$1004,"&lt;="&amp;A920)-SUMIFS($F$5:$F$1004,$C$5:$C$1004,C920,$E$5:$E$1004,"Saída",$A$5:$A$1004,"&lt;="&amp;A920),""))</f>
        <v/>
      </c>
      <c r="J920" s="68">
        <f>IF(A920="","",A920+ROW()/100000)</f>
        <v/>
      </c>
    </row>
    <row r="921">
      <c r="A921" s="65" t="n"/>
      <c r="B921" s="58" t="n"/>
      <c r="C921" s="58" t="n"/>
      <c r="D921" s="66">
        <f>IF(C921="","",IFERROR(INDEX('Produtos'!$B$5:$B$204,MATCH(C921,'Produtos'!$A$5:$A$204,0)),"Código não cadastrado"))</f>
        <v/>
      </c>
      <c r="E921" s="58" t="n"/>
      <c r="F921" s="61" t="n"/>
      <c r="G921" s="59" t="n"/>
      <c r="H921" s="59" t="n"/>
      <c r="I921" s="67">
        <f>IF(OR(A921="",C921=""),"",IFERROR(INDEX('Produtos'!$F$5:$F$204,MATCH(C921,'Produtos'!$A$5:$A$204,0))+SUMIFS($F$5:$F$1004,$C$5:$C$1004,C921,$E$5:$E$1004,"Entrada",$A$5:$A$1004,"&lt;="&amp;A921)-SUMIFS($F$5:$F$1004,$C$5:$C$1004,C921,$E$5:$E$1004,"Saída",$A$5:$A$1004,"&lt;="&amp;A921),""))</f>
        <v/>
      </c>
      <c r="J921" s="68">
        <f>IF(A921="","",A921+ROW()/100000)</f>
        <v/>
      </c>
    </row>
    <row r="922">
      <c r="A922" s="65" t="n"/>
      <c r="B922" s="58" t="n"/>
      <c r="C922" s="58" t="n"/>
      <c r="D922" s="66">
        <f>IF(C922="","",IFERROR(INDEX('Produtos'!$B$5:$B$204,MATCH(C922,'Produtos'!$A$5:$A$204,0)),"Código não cadastrado"))</f>
        <v/>
      </c>
      <c r="E922" s="58" t="n"/>
      <c r="F922" s="61" t="n"/>
      <c r="G922" s="59" t="n"/>
      <c r="H922" s="59" t="n"/>
      <c r="I922" s="67">
        <f>IF(OR(A922="",C922=""),"",IFERROR(INDEX('Produtos'!$F$5:$F$204,MATCH(C922,'Produtos'!$A$5:$A$204,0))+SUMIFS($F$5:$F$1004,$C$5:$C$1004,C922,$E$5:$E$1004,"Entrada",$A$5:$A$1004,"&lt;="&amp;A922)-SUMIFS($F$5:$F$1004,$C$5:$C$1004,C922,$E$5:$E$1004,"Saída",$A$5:$A$1004,"&lt;="&amp;A922),""))</f>
        <v/>
      </c>
      <c r="J922" s="68">
        <f>IF(A922="","",A922+ROW()/100000)</f>
        <v/>
      </c>
    </row>
    <row r="923">
      <c r="A923" s="65" t="n"/>
      <c r="B923" s="58" t="n"/>
      <c r="C923" s="58" t="n"/>
      <c r="D923" s="66">
        <f>IF(C923="","",IFERROR(INDEX('Produtos'!$B$5:$B$204,MATCH(C923,'Produtos'!$A$5:$A$204,0)),"Código não cadastrado"))</f>
        <v/>
      </c>
      <c r="E923" s="58" t="n"/>
      <c r="F923" s="61" t="n"/>
      <c r="G923" s="59" t="n"/>
      <c r="H923" s="59" t="n"/>
      <c r="I923" s="67">
        <f>IF(OR(A923="",C923=""),"",IFERROR(INDEX('Produtos'!$F$5:$F$204,MATCH(C923,'Produtos'!$A$5:$A$204,0))+SUMIFS($F$5:$F$1004,$C$5:$C$1004,C923,$E$5:$E$1004,"Entrada",$A$5:$A$1004,"&lt;="&amp;A923)-SUMIFS($F$5:$F$1004,$C$5:$C$1004,C923,$E$5:$E$1004,"Saída",$A$5:$A$1004,"&lt;="&amp;A923),""))</f>
        <v/>
      </c>
      <c r="J923" s="68">
        <f>IF(A923="","",A923+ROW()/100000)</f>
        <v/>
      </c>
    </row>
    <row r="924">
      <c r="A924" s="65" t="n"/>
      <c r="B924" s="58" t="n"/>
      <c r="C924" s="58" t="n"/>
      <c r="D924" s="66">
        <f>IF(C924="","",IFERROR(INDEX('Produtos'!$B$5:$B$204,MATCH(C924,'Produtos'!$A$5:$A$204,0)),"Código não cadastrado"))</f>
        <v/>
      </c>
      <c r="E924" s="58" t="n"/>
      <c r="F924" s="61" t="n"/>
      <c r="G924" s="59" t="n"/>
      <c r="H924" s="59" t="n"/>
      <c r="I924" s="67">
        <f>IF(OR(A924="",C924=""),"",IFERROR(INDEX('Produtos'!$F$5:$F$204,MATCH(C924,'Produtos'!$A$5:$A$204,0))+SUMIFS($F$5:$F$1004,$C$5:$C$1004,C924,$E$5:$E$1004,"Entrada",$A$5:$A$1004,"&lt;="&amp;A924)-SUMIFS($F$5:$F$1004,$C$5:$C$1004,C924,$E$5:$E$1004,"Saída",$A$5:$A$1004,"&lt;="&amp;A924),""))</f>
        <v/>
      </c>
      <c r="J924" s="68">
        <f>IF(A924="","",A924+ROW()/100000)</f>
        <v/>
      </c>
    </row>
    <row r="925">
      <c r="A925" s="65" t="n"/>
      <c r="B925" s="58" t="n"/>
      <c r="C925" s="58" t="n"/>
      <c r="D925" s="66">
        <f>IF(C925="","",IFERROR(INDEX('Produtos'!$B$5:$B$204,MATCH(C925,'Produtos'!$A$5:$A$204,0)),"Código não cadastrado"))</f>
        <v/>
      </c>
      <c r="E925" s="58" t="n"/>
      <c r="F925" s="61" t="n"/>
      <c r="G925" s="59" t="n"/>
      <c r="H925" s="59" t="n"/>
      <c r="I925" s="67">
        <f>IF(OR(A925="",C925=""),"",IFERROR(INDEX('Produtos'!$F$5:$F$204,MATCH(C925,'Produtos'!$A$5:$A$204,0))+SUMIFS($F$5:$F$1004,$C$5:$C$1004,C925,$E$5:$E$1004,"Entrada",$A$5:$A$1004,"&lt;="&amp;A925)-SUMIFS($F$5:$F$1004,$C$5:$C$1004,C925,$E$5:$E$1004,"Saída",$A$5:$A$1004,"&lt;="&amp;A925),""))</f>
        <v/>
      </c>
      <c r="J925" s="68">
        <f>IF(A925="","",A925+ROW()/100000)</f>
        <v/>
      </c>
    </row>
    <row r="926">
      <c r="A926" s="65" t="n"/>
      <c r="B926" s="58" t="n"/>
      <c r="C926" s="58" t="n"/>
      <c r="D926" s="66">
        <f>IF(C926="","",IFERROR(INDEX('Produtos'!$B$5:$B$204,MATCH(C926,'Produtos'!$A$5:$A$204,0)),"Código não cadastrado"))</f>
        <v/>
      </c>
      <c r="E926" s="58" t="n"/>
      <c r="F926" s="61" t="n"/>
      <c r="G926" s="59" t="n"/>
      <c r="H926" s="59" t="n"/>
      <c r="I926" s="67">
        <f>IF(OR(A926="",C926=""),"",IFERROR(INDEX('Produtos'!$F$5:$F$204,MATCH(C926,'Produtos'!$A$5:$A$204,0))+SUMIFS($F$5:$F$1004,$C$5:$C$1004,C926,$E$5:$E$1004,"Entrada",$A$5:$A$1004,"&lt;="&amp;A926)-SUMIFS($F$5:$F$1004,$C$5:$C$1004,C926,$E$5:$E$1004,"Saída",$A$5:$A$1004,"&lt;="&amp;A926),""))</f>
        <v/>
      </c>
      <c r="J926" s="68">
        <f>IF(A926="","",A926+ROW()/100000)</f>
        <v/>
      </c>
    </row>
    <row r="927">
      <c r="A927" s="65" t="n"/>
      <c r="B927" s="58" t="n"/>
      <c r="C927" s="58" t="n"/>
      <c r="D927" s="66">
        <f>IF(C927="","",IFERROR(INDEX('Produtos'!$B$5:$B$204,MATCH(C927,'Produtos'!$A$5:$A$204,0)),"Código não cadastrado"))</f>
        <v/>
      </c>
      <c r="E927" s="58" t="n"/>
      <c r="F927" s="61" t="n"/>
      <c r="G927" s="59" t="n"/>
      <c r="H927" s="59" t="n"/>
      <c r="I927" s="67">
        <f>IF(OR(A927="",C927=""),"",IFERROR(INDEX('Produtos'!$F$5:$F$204,MATCH(C927,'Produtos'!$A$5:$A$204,0))+SUMIFS($F$5:$F$1004,$C$5:$C$1004,C927,$E$5:$E$1004,"Entrada",$A$5:$A$1004,"&lt;="&amp;A927)-SUMIFS($F$5:$F$1004,$C$5:$C$1004,C927,$E$5:$E$1004,"Saída",$A$5:$A$1004,"&lt;="&amp;A927),""))</f>
        <v/>
      </c>
      <c r="J927" s="68">
        <f>IF(A927="","",A927+ROW()/100000)</f>
        <v/>
      </c>
    </row>
    <row r="928">
      <c r="A928" s="65" t="n"/>
      <c r="B928" s="58" t="n"/>
      <c r="C928" s="58" t="n"/>
      <c r="D928" s="66">
        <f>IF(C928="","",IFERROR(INDEX('Produtos'!$B$5:$B$204,MATCH(C928,'Produtos'!$A$5:$A$204,0)),"Código não cadastrado"))</f>
        <v/>
      </c>
      <c r="E928" s="58" t="n"/>
      <c r="F928" s="61" t="n"/>
      <c r="G928" s="59" t="n"/>
      <c r="H928" s="59" t="n"/>
      <c r="I928" s="67">
        <f>IF(OR(A928="",C928=""),"",IFERROR(INDEX('Produtos'!$F$5:$F$204,MATCH(C928,'Produtos'!$A$5:$A$204,0))+SUMIFS($F$5:$F$1004,$C$5:$C$1004,C928,$E$5:$E$1004,"Entrada",$A$5:$A$1004,"&lt;="&amp;A928)-SUMIFS($F$5:$F$1004,$C$5:$C$1004,C928,$E$5:$E$1004,"Saída",$A$5:$A$1004,"&lt;="&amp;A928),""))</f>
        <v/>
      </c>
      <c r="J928" s="68">
        <f>IF(A928="","",A928+ROW()/100000)</f>
        <v/>
      </c>
    </row>
    <row r="929">
      <c r="A929" s="65" t="n"/>
      <c r="B929" s="58" t="n"/>
      <c r="C929" s="58" t="n"/>
      <c r="D929" s="66">
        <f>IF(C929="","",IFERROR(INDEX('Produtos'!$B$5:$B$204,MATCH(C929,'Produtos'!$A$5:$A$204,0)),"Código não cadastrado"))</f>
        <v/>
      </c>
      <c r="E929" s="58" t="n"/>
      <c r="F929" s="61" t="n"/>
      <c r="G929" s="59" t="n"/>
      <c r="H929" s="59" t="n"/>
      <c r="I929" s="67">
        <f>IF(OR(A929="",C929=""),"",IFERROR(INDEX('Produtos'!$F$5:$F$204,MATCH(C929,'Produtos'!$A$5:$A$204,0))+SUMIFS($F$5:$F$1004,$C$5:$C$1004,C929,$E$5:$E$1004,"Entrada",$A$5:$A$1004,"&lt;="&amp;A929)-SUMIFS($F$5:$F$1004,$C$5:$C$1004,C929,$E$5:$E$1004,"Saída",$A$5:$A$1004,"&lt;="&amp;A929),""))</f>
        <v/>
      </c>
      <c r="J929" s="68">
        <f>IF(A929="","",A929+ROW()/100000)</f>
        <v/>
      </c>
    </row>
    <row r="930">
      <c r="A930" s="65" t="n"/>
      <c r="B930" s="58" t="n"/>
      <c r="C930" s="58" t="n"/>
      <c r="D930" s="66">
        <f>IF(C930="","",IFERROR(INDEX('Produtos'!$B$5:$B$204,MATCH(C930,'Produtos'!$A$5:$A$204,0)),"Código não cadastrado"))</f>
        <v/>
      </c>
      <c r="E930" s="58" t="n"/>
      <c r="F930" s="61" t="n"/>
      <c r="G930" s="59" t="n"/>
      <c r="H930" s="59" t="n"/>
      <c r="I930" s="67">
        <f>IF(OR(A930="",C930=""),"",IFERROR(INDEX('Produtos'!$F$5:$F$204,MATCH(C930,'Produtos'!$A$5:$A$204,0))+SUMIFS($F$5:$F$1004,$C$5:$C$1004,C930,$E$5:$E$1004,"Entrada",$A$5:$A$1004,"&lt;="&amp;A930)-SUMIFS($F$5:$F$1004,$C$5:$C$1004,C930,$E$5:$E$1004,"Saída",$A$5:$A$1004,"&lt;="&amp;A930),""))</f>
        <v/>
      </c>
      <c r="J930" s="68">
        <f>IF(A930="","",A930+ROW()/100000)</f>
        <v/>
      </c>
    </row>
    <row r="931">
      <c r="A931" s="65" t="n"/>
      <c r="B931" s="58" t="n"/>
      <c r="C931" s="58" t="n"/>
      <c r="D931" s="66">
        <f>IF(C931="","",IFERROR(INDEX('Produtos'!$B$5:$B$204,MATCH(C931,'Produtos'!$A$5:$A$204,0)),"Código não cadastrado"))</f>
        <v/>
      </c>
      <c r="E931" s="58" t="n"/>
      <c r="F931" s="61" t="n"/>
      <c r="G931" s="59" t="n"/>
      <c r="H931" s="59" t="n"/>
      <c r="I931" s="67">
        <f>IF(OR(A931="",C931=""),"",IFERROR(INDEX('Produtos'!$F$5:$F$204,MATCH(C931,'Produtos'!$A$5:$A$204,0))+SUMIFS($F$5:$F$1004,$C$5:$C$1004,C931,$E$5:$E$1004,"Entrada",$A$5:$A$1004,"&lt;="&amp;A931)-SUMIFS($F$5:$F$1004,$C$5:$C$1004,C931,$E$5:$E$1004,"Saída",$A$5:$A$1004,"&lt;="&amp;A931),""))</f>
        <v/>
      </c>
      <c r="J931" s="68">
        <f>IF(A931="","",A931+ROW()/100000)</f>
        <v/>
      </c>
    </row>
    <row r="932">
      <c r="A932" s="65" t="n"/>
      <c r="B932" s="58" t="n"/>
      <c r="C932" s="58" t="n"/>
      <c r="D932" s="66">
        <f>IF(C932="","",IFERROR(INDEX('Produtos'!$B$5:$B$204,MATCH(C932,'Produtos'!$A$5:$A$204,0)),"Código não cadastrado"))</f>
        <v/>
      </c>
      <c r="E932" s="58" t="n"/>
      <c r="F932" s="61" t="n"/>
      <c r="G932" s="59" t="n"/>
      <c r="H932" s="59" t="n"/>
      <c r="I932" s="67">
        <f>IF(OR(A932="",C932=""),"",IFERROR(INDEX('Produtos'!$F$5:$F$204,MATCH(C932,'Produtos'!$A$5:$A$204,0))+SUMIFS($F$5:$F$1004,$C$5:$C$1004,C932,$E$5:$E$1004,"Entrada",$A$5:$A$1004,"&lt;="&amp;A932)-SUMIFS($F$5:$F$1004,$C$5:$C$1004,C932,$E$5:$E$1004,"Saída",$A$5:$A$1004,"&lt;="&amp;A932),""))</f>
        <v/>
      </c>
      <c r="J932" s="68">
        <f>IF(A932="","",A932+ROW()/100000)</f>
        <v/>
      </c>
    </row>
    <row r="933">
      <c r="A933" s="65" t="n"/>
      <c r="B933" s="58" t="n"/>
      <c r="C933" s="58" t="n"/>
      <c r="D933" s="66">
        <f>IF(C933="","",IFERROR(INDEX('Produtos'!$B$5:$B$204,MATCH(C933,'Produtos'!$A$5:$A$204,0)),"Código não cadastrado"))</f>
        <v/>
      </c>
      <c r="E933" s="58" t="n"/>
      <c r="F933" s="61" t="n"/>
      <c r="G933" s="59" t="n"/>
      <c r="H933" s="59" t="n"/>
      <c r="I933" s="67">
        <f>IF(OR(A933="",C933=""),"",IFERROR(INDEX('Produtos'!$F$5:$F$204,MATCH(C933,'Produtos'!$A$5:$A$204,0))+SUMIFS($F$5:$F$1004,$C$5:$C$1004,C933,$E$5:$E$1004,"Entrada",$A$5:$A$1004,"&lt;="&amp;A933)-SUMIFS($F$5:$F$1004,$C$5:$C$1004,C933,$E$5:$E$1004,"Saída",$A$5:$A$1004,"&lt;="&amp;A933),""))</f>
        <v/>
      </c>
      <c r="J933" s="68">
        <f>IF(A933="","",A933+ROW()/100000)</f>
        <v/>
      </c>
    </row>
    <row r="934">
      <c r="A934" s="65" t="n"/>
      <c r="B934" s="58" t="n"/>
      <c r="C934" s="58" t="n"/>
      <c r="D934" s="66">
        <f>IF(C934="","",IFERROR(INDEX('Produtos'!$B$5:$B$204,MATCH(C934,'Produtos'!$A$5:$A$204,0)),"Código não cadastrado"))</f>
        <v/>
      </c>
      <c r="E934" s="58" t="n"/>
      <c r="F934" s="61" t="n"/>
      <c r="G934" s="59" t="n"/>
      <c r="H934" s="59" t="n"/>
      <c r="I934" s="67">
        <f>IF(OR(A934="",C934=""),"",IFERROR(INDEX('Produtos'!$F$5:$F$204,MATCH(C934,'Produtos'!$A$5:$A$204,0))+SUMIFS($F$5:$F$1004,$C$5:$C$1004,C934,$E$5:$E$1004,"Entrada",$A$5:$A$1004,"&lt;="&amp;A934)-SUMIFS($F$5:$F$1004,$C$5:$C$1004,C934,$E$5:$E$1004,"Saída",$A$5:$A$1004,"&lt;="&amp;A934),""))</f>
        <v/>
      </c>
      <c r="J934" s="68">
        <f>IF(A934="","",A934+ROW()/100000)</f>
        <v/>
      </c>
    </row>
    <row r="935">
      <c r="A935" s="65" t="n"/>
      <c r="B935" s="58" t="n"/>
      <c r="C935" s="58" t="n"/>
      <c r="D935" s="66">
        <f>IF(C935="","",IFERROR(INDEX('Produtos'!$B$5:$B$204,MATCH(C935,'Produtos'!$A$5:$A$204,0)),"Código não cadastrado"))</f>
        <v/>
      </c>
      <c r="E935" s="58" t="n"/>
      <c r="F935" s="61" t="n"/>
      <c r="G935" s="59" t="n"/>
      <c r="H935" s="59" t="n"/>
      <c r="I935" s="67">
        <f>IF(OR(A935="",C935=""),"",IFERROR(INDEX('Produtos'!$F$5:$F$204,MATCH(C935,'Produtos'!$A$5:$A$204,0))+SUMIFS($F$5:$F$1004,$C$5:$C$1004,C935,$E$5:$E$1004,"Entrada",$A$5:$A$1004,"&lt;="&amp;A935)-SUMIFS($F$5:$F$1004,$C$5:$C$1004,C935,$E$5:$E$1004,"Saída",$A$5:$A$1004,"&lt;="&amp;A935),""))</f>
        <v/>
      </c>
      <c r="J935" s="68">
        <f>IF(A935="","",A935+ROW()/100000)</f>
        <v/>
      </c>
    </row>
    <row r="936">
      <c r="A936" s="65" t="n"/>
      <c r="B936" s="58" t="n"/>
      <c r="C936" s="58" t="n"/>
      <c r="D936" s="66">
        <f>IF(C936="","",IFERROR(INDEX('Produtos'!$B$5:$B$204,MATCH(C936,'Produtos'!$A$5:$A$204,0)),"Código não cadastrado"))</f>
        <v/>
      </c>
      <c r="E936" s="58" t="n"/>
      <c r="F936" s="61" t="n"/>
      <c r="G936" s="59" t="n"/>
      <c r="H936" s="59" t="n"/>
      <c r="I936" s="67">
        <f>IF(OR(A936="",C936=""),"",IFERROR(INDEX('Produtos'!$F$5:$F$204,MATCH(C936,'Produtos'!$A$5:$A$204,0))+SUMIFS($F$5:$F$1004,$C$5:$C$1004,C936,$E$5:$E$1004,"Entrada",$A$5:$A$1004,"&lt;="&amp;A936)-SUMIFS($F$5:$F$1004,$C$5:$C$1004,C936,$E$5:$E$1004,"Saída",$A$5:$A$1004,"&lt;="&amp;A936),""))</f>
        <v/>
      </c>
      <c r="J936" s="68">
        <f>IF(A936="","",A936+ROW()/100000)</f>
        <v/>
      </c>
    </row>
    <row r="937">
      <c r="A937" s="65" t="n"/>
      <c r="B937" s="58" t="n"/>
      <c r="C937" s="58" t="n"/>
      <c r="D937" s="66">
        <f>IF(C937="","",IFERROR(INDEX('Produtos'!$B$5:$B$204,MATCH(C937,'Produtos'!$A$5:$A$204,0)),"Código não cadastrado"))</f>
        <v/>
      </c>
      <c r="E937" s="58" t="n"/>
      <c r="F937" s="61" t="n"/>
      <c r="G937" s="59" t="n"/>
      <c r="H937" s="59" t="n"/>
      <c r="I937" s="67">
        <f>IF(OR(A937="",C937=""),"",IFERROR(INDEX('Produtos'!$F$5:$F$204,MATCH(C937,'Produtos'!$A$5:$A$204,0))+SUMIFS($F$5:$F$1004,$C$5:$C$1004,C937,$E$5:$E$1004,"Entrada",$A$5:$A$1004,"&lt;="&amp;A937)-SUMIFS($F$5:$F$1004,$C$5:$C$1004,C937,$E$5:$E$1004,"Saída",$A$5:$A$1004,"&lt;="&amp;A937),""))</f>
        <v/>
      </c>
      <c r="J937" s="68">
        <f>IF(A937="","",A937+ROW()/100000)</f>
        <v/>
      </c>
    </row>
    <row r="938">
      <c r="A938" s="65" t="n"/>
      <c r="B938" s="58" t="n"/>
      <c r="C938" s="58" t="n"/>
      <c r="D938" s="66">
        <f>IF(C938="","",IFERROR(INDEX('Produtos'!$B$5:$B$204,MATCH(C938,'Produtos'!$A$5:$A$204,0)),"Código não cadastrado"))</f>
        <v/>
      </c>
      <c r="E938" s="58" t="n"/>
      <c r="F938" s="61" t="n"/>
      <c r="G938" s="59" t="n"/>
      <c r="H938" s="59" t="n"/>
      <c r="I938" s="67">
        <f>IF(OR(A938="",C938=""),"",IFERROR(INDEX('Produtos'!$F$5:$F$204,MATCH(C938,'Produtos'!$A$5:$A$204,0))+SUMIFS($F$5:$F$1004,$C$5:$C$1004,C938,$E$5:$E$1004,"Entrada",$A$5:$A$1004,"&lt;="&amp;A938)-SUMIFS($F$5:$F$1004,$C$5:$C$1004,C938,$E$5:$E$1004,"Saída",$A$5:$A$1004,"&lt;="&amp;A938),""))</f>
        <v/>
      </c>
      <c r="J938" s="68">
        <f>IF(A938="","",A938+ROW()/100000)</f>
        <v/>
      </c>
    </row>
    <row r="939">
      <c r="A939" s="65" t="n"/>
      <c r="B939" s="58" t="n"/>
      <c r="C939" s="58" t="n"/>
      <c r="D939" s="66">
        <f>IF(C939="","",IFERROR(INDEX('Produtos'!$B$5:$B$204,MATCH(C939,'Produtos'!$A$5:$A$204,0)),"Código não cadastrado"))</f>
        <v/>
      </c>
      <c r="E939" s="58" t="n"/>
      <c r="F939" s="61" t="n"/>
      <c r="G939" s="59" t="n"/>
      <c r="H939" s="59" t="n"/>
      <c r="I939" s="67">
        <f>IF(OR(A939="",C939=""),"",IFERROR(INDEX('Produtos'!$F$5:$F$204,MATCH(C939,'Produtos'!$A$5:$A$204,0))+SUMIFS($F$5:$F$1004,$C$5:$C$1004,C939,$E$5:$E$1004,"Entrada",$A$5:$A$1004,"&lt;="&amp;A939)-SUMIFS($F$5:$F$1004,$C$5:$C$1004,C939,$E$5:$E$1004,"Saída",$A$5:$A$1004,"&lt;="&amp;A939),""))</f>
        <v/>
      </c>
      <c r="J939" s="68">
        <f>IF(A939="","",A939+ROW()/100000)</f>
        <v/>
      </c>
    </row>
    <row r="940">
      <c r="A940" s="65" t="n"/>
      <c r="B940" s="58" t="n"/>
      <c r="C940" s="58" t="n"/>
      <c r="D940" s="66">
        <f>IF(C940="","",IFERROR(INDEX('Produtos'!$B$5:$B$204,MATCH(C940,'Produtos'!$A$5:$A$204,0)),"Código não cadastrado"))</f>
        <v/>
      </c>
      <c r="E940" s="58" t="n"/>
      <c r="F940" s="61" t="n"/>
      <c r="G940" s="59" t="n"/>
      <c r="H940" s="59" t="n"/>
      <c r="I940" s="67">
        <f>IF(OR(A940="",C940=""),"",IFERROR(INDEX('Produtos'!$F$5:$F$204,MATCH(C940,'Produtos'!$A$5:$A$204,0))+SUMIFS($F$5:$F$1004,$C$5:$C$1004,C940,$E$5:$E$1004,"Entrada",$A$5:$A$1004,"&lt;="&amp;A940)-SUMIFS($F$5:$F$1004,$C$5:$C$1004,C940,$E$5:$E$1004,"Saída",$A$5:$A$1004,"&lt;="&amp;A940),""))</f>
        <v/>
      </c>
      <c r="J940" s="68">
        <f>IF(A940="","",A940+ROW()/100000)</f>
        <v/>
      </c>
    </row>
    <row r="941">
      <c r="A941" s="65" t="n"/>
      <c r="B941" s="58" t="n"/>
      <c r="C941" s="58" t="n"/>
      <c r="D941" s="66">
        <f>IF(C941="","",IFERROR(INDEX('Produtos'!$B$5:$B$204,MATCH(C941,'Produtos'!$A$5:$A$204,0)),"Código não cadastrado"))</f>
        <v/>
      </c>
      <c r="E941" s="58" t="n"/>
      <c r="F941" s="61" t="n"/>
      <c r="G941" s="59" t="n"/>
      <c r="H941" s="59" t="n"/>
      <c r="I941" s="67">
        <f>IF(OR(A941="",C941=""),"",IFERROR(INDEX('Produtos'!$F$5:$F$204,MATCH(C941,'Produtos'!$A$5:$A$204,0))+SUMIFS($F$5:$F$1004,$C$5:$C$1004,C941,$E$5:$E$1004,"Entrada",$A$5:$A$1004,"&lt;="&amp;A941)-SUMIFS($F$5:$F$1004,$C$5:$C$1004,C941,$E$5:$E$1004,"Saída",$A$5:$A$1004,"&lt;="&amp;A941),""))</f>
        <v/>
      </c>
      <c r="J941" s="68">
        <f>IF(A941="","",A941+ROW()/100000)</f>
        <v/>
      </c>
    </row>
    <row r="942">
      <c r="A942" s="65" t="n"/>
      <c r="B942" s="58" t="n"/>
      <c r="C942" s="58" t="n"/>
      <c r="D942" s="66">
        <f>IF(C942="","",IFERROR(INDEX('Produtos'!$B$5:$B$204,MATCH(C942,'Produtos'!$A$5:$A$204,0)),"Código não cadastrado"))</f>
        <v/>
      </c>
      <c r="E942" s="58" t="n"/>
      <c r="F942" s="61" t="n"/>
      <c r="G942" s="59" t="n"/>
      <c r="H942" s="59" t="n"/>
      <c r="I942" s="67">
        <f>IF(OR(A942="",C942=""),"",IFERROR(INDEX('Produtos'!$F$5:$F$204,MATCH(C942,'Produtos'!$A$5:$A$204,0))+SUMIFS($F$5:$F$1004,$C$5:$C$1004,C942,$E$5:$E$1004,"Entrada",$A$5:$A$1004,"&lt;="&amp;A942)-SUMIFS($F$5:$F$1004,$C$5:$C$1004,C942,$E$5:$E$1004,"Saída",$A$5:$A$1004,"&lt;="&amp;A942),""))</f>
        <v/>
      </c>
      <c r="J942" s="68">
        <f>IF(A942="","",A942+ROW()/100000)</f>
        <v/>
      </c>
    </row>
    <row r="943">
      <c r="A943" s="65" t="n"/>
      <c r="B943" s="58" t="n"/>
      <c r="C943" s="58" t="n"/>
      <c r="D943" s="66">
        <f>IF(C943="","",IFERROR(INDEX('Produtos'!$B$5:$B$204,MATCH(C943,'Produtos'!$A$5:$A$204,0)),"Código não cadastrado"))</f>
        <v/>
      </c>
      <c r="E943" s="58" t="n"/>
      <c r="F943" s="61" t="n"/>
      <c r="G943" s="59" t="n"/>
      <c r="H943" s="59" t="n"/>
      <c r="I943" s="67">
        <f>IF(OR(A943="",C943=""),"",IFERROR(INDEX('Produtos'!$F$5:$F$204,MATCH(C943,'Produtos'!$A$5:$A$204,0))+SUMIFS($F$5:$F$1004,$C$5:$C$1004,C943,$E$5:$E$1004,"Entrada",$A$5:$A$1004,"&lt;="&amp;A943)-SUMIFS($F$5:$F$1004,$C$5:$C$1004,C943,$E$5:$E$1004,"Saída",$A$5:$A$1004,"&lt;="&amp;A943),""))</f>
        <v/>
      </c>
      <c r="J943" s="68">
        <f>IF(A943="","",A943+ROW()/100000)</f>
        <v/>
      </c>
    </row>
    <row r="944">
      <c r="A944" s="65" t="n"/>
      <c r="B944" s="58" t="n"/>
      <c r="C944" s="58" t="n"/>
      <c r="D944" s="66">
        <f>IF(C944="","",IFERROR(INDEX('Produtos'!$B$5:$B$204,MATCH(C944,'Produtos'!$A$5:$A$204,0)),"Código não cadastrado"))</f>
        <v/>
      </c>
      <c r="E944" s="58" t="n"/>
      <c r="F944" s="61" t="n"/>
      <c r="G944" s="59" t="n"/>
      <c r="H944" s="59" t="n"/>
      <c r="I944" s="67">
        <f>IF(OR(A944="",C944=""),"",IFERROR(INDEX('Produtos'!$F$5:$F$204,MATCH(C944,'Produtos'!$A$5:$A$204,0))+SUMIFS($F$5:$F$1004,$C$5:$C$1004,C944,$E$5:$E$1004,"Entrada",$A$5:$A$1004,"&lt;="&amp;A944)-SUMIFS($F$5:$F$1004,$C$5:$C$1004,C944,$E$5:$E$1004,"Saída",$A$5:$A$1004,"&lt;="&amp;A944),""))</f>
        <v/>
      </c>
      <c r="J944" s="68">
        <f>IF(A944="","",A944+ROW()/100000)</f>
        <v/>
      </c>
    </row>
    <row r="945">
      <c r="A945" s="65" t="n"/>
      <c r="B945" s="58" t="n"/>
      <c r="C945" s="58" t="n"/>
      <c r="D945" s="66">
        <f>IF(C945="","",IFERROR(INDEX('Produtos'!$B$5:$B$204,MATCH(C945,'Produtos'!$A$5:$A$204,0)),"Código não cadastrado"))</f>
        <v/>
      </c>
      <c r="E945" s="58" t="n"/>
      <c r="F945" s="61" t="n"/>
      <c r="G945" s="59" t="n"/>
      <c r="H945" s="59" t="n"/>
      <c r="I945" s="67">
        <f>IF(OR(A945="",C945=""),"",IFERROR(INDEX('Produtos'!$F$5:$F$204,MATCH(C945,'Produtos'!$A$5:$A$204,0))+SUMIFS($F$5:$F$1004,$C$5:$C$1004,C945,$E$5:$E$1004,"Entrada",$A$5:$A$1004,"&lt;="&amp;A945)-SUMIFS($F$5:$F$1004,$C$5:$C$1004,C945,$E$5:$E$1004,"Saída",$A$5:$A$1004,"&lt;="&amp;A945),""))</f>
        <v/>
      </c>
      <c r="J945" s="68">
        <f>IF(A945="","",A945+ROW()/100000)</f>
        <v/>
      </c>
    </row>
    <row r="946">
      <c r="A946" s="65" t="n"/>
      <c r="B946" s="58" t="n"/>
      <c r="C946" s="58" t="n"/>
      <c r="D946" s="66">
        <f>IF(C946="","",IFERROR(INDEX('Produtos'!$B$5:$B$204,MATCH(C946,'Produtos'!$A$5:$A$204,0)),"Código não cadastrado"))</f>
        <v/>
      </c>
      <c r="E946" s="58" t="n"/>
      <c r="F946" s="61" t="n"/>
      <c r="G946" s="59" t="n"/>
      <c r="H946" s="59" t="n"/>
      <c r="I946" s="67">
        <f>IF(OR(A946="",C946=""),"",IFERROR(INDEX('Produtos'!$F$5:$F$204,MATCH(C946,'Produtos'!$A$5:$A$204,0))+SUMIFS($F$5:$F$1004,$C$5:$C$1004,C946,$E$5:$E$1004,"Entrada",$A$5:$A$1004,"&lt;="&amp;A946)-SUMIFS($F$5:$F$1004,$C$5:$C$1004,C946,$E$5:$E$1004,"Saída",$A$5:$A$1004,"&lt;="&amp;A946),""))</f>
        <v/>
      </c>
      <c r="J946" s="68">
        <f>IF(A946="","",A946+ROW()/100000)</f>
        <v/>
      </c>
    </row>
    <row r="947">
      <c r="A947" s="65" t="n"/>
      <c r="B947" s="58" t="n"/>
      <c r="C947" s="58" t="n"/>
      <c r="D947" s="66">
        <f>IF(C947="","",IFERROR(INDEX('Produtos'!$B$5:$B$204,MATCH(C947,'Produtos'!$A$5:$A$204,0)),"Código não cadastrado"))</f>
        <v/>
      </c>
      <c r="E947" s="58" t="n"/>
      <c r="F947" s="61" t="n"/>
      <c r="G947" s="59" t="n"/>
      <c r="H947" s="59" t="n"/>
      <c r="I947" s="67">
        <f>IF(OR(A947="",C947=""),"",IFERROR(INDEX('Produtos'!$F$5:$F$204,MATCH(C947,'Produtos'!$A$5:$A$204,0))+SUMIFS($F$5:$F$1004,$C$5:$C$1004,C947,$E$5:$E$1004,"Entrada",$A$5:$A$1004,"&lt;="&amp;A947)-SUMIFS($F$5:$F$1004,$C$5:$C$1004,C947,$E$5:$E$1004,"Saída",$A$5:$A$1004,"&lt;="&amp;A947),""))</f>
        <v/>
      </c>
      <c r="J947" s="68">
        <f>IF(A947="","",A947+ROW()/100000)</f>
        <v/>
      </c>
    </row>
    <row r="948">
      <c r="A948" s="65" t="n"/>
      <c r="B948" s="58" t="n"/>
      <c r="C948" s="58" t="n"/>
      <c r="D948" s="66">
        <f>IF(C948="","",IFERROR(INDEX('Produtos'!$B$5:$B$204,MATCH(C948,'Produtos'!$A$5:$A$204,0)),"Código não cadastrado"))</f>
        <v/>
      </c>
      <c r="E948" s="58" t="n"/>
      <c r="F948" s="61" t="n"/>
      <c r="G948" s="59" t="n"/>
      <c r="H948" s="59" t="n"/>
      <c r="I948" s="67">
        <f>IF(OR(A948="",C948=""),"",IFERROR(INDEX('Produtos'!$F$5:$F$204,MATCH(C948,'Produtos'!$A$5:$A$204,0))+SUMIFS($F$5:$F$1004,$C$5:$C$1004,C948,$E$5:$E$1004,"Entrada",$A$5:$A$1004,"&lt;="&amp;A948)-SUMIFS($F$5:$F$1004,$C$5:$C$1004,C948,$E$5:$E$1004,"Saída",$A$5:$A$1004,"&lt;="&amp;A948),""))</f>
        <v/>
      </c>
      <c r="J948" s="68">
        <f>IF(A948="","",A948+ROW()/100000)</f>
        <v/>
      </c>
    </row>
    <row r="949">
      <c r="A949" s="65" t="n"/>
      <c r="B949" s="58" t="n"/>
      <c r="C949" s="58" t="n"/>
      <c r="D949" s="66">
        <f>IF(C949="","",IFERROR(INDEX('Produtos'!$B$5:$B$204,MATCH(C949,'Produtos'!$A$5:$A$204,0)),"Código não cadastrado"))</f>
        <v/>
      </c>
      <c r="E949" s="58" t="n"/>
      <c r="F949" s="61" t="n"/>
      <c r="G949" s="59" t="n"/>
      <c r="H949" s="59" t="n"/>
      <c r="I949" s="67">
        <f>IF(OR(A949="",C949=""),"",IFERROR(INDEX('Produtos'!$F$5:$F$204,MATCH(C949,'Produtos'!$A$5:$A$204,0))+SUMIFS($F$5:$F$1004,$C$5:$C$1004,C949,$E$5:$E$1004,"Entrada",$A$5:$A$1004,"&lt;="&amp;A949)-SUMIFS($F$5:$F$1004,$C$5:$C$1004,C949,$E$5:$E$1004,"Saída",$A$5:$A$1004,"&lt;="&amp;A949),""))</f>
        <v/>
      </c>
      <c r="J949" s="68">
        <f>IF(A949="","",A949+ROW()/100000)</f>
        <v/>
      </c>
    </row>
    <row r="950">
      <c r="A950" s="65" t="n"/>
      <c r="B950" s="58" t="n"/>
      <c r="C950" s="58" t="n"/>
      <c r="D950" s="66">
        <f>IF(C950="","",IFERROR(INDEX('Produtos'!$B$5:$B$204,MATCH(C950,'Produtos'!$A$5:$A$204,0)),"Código não cadastrado"))</f>
        <v/>
      </c>
      <c r="E950" s="58" t="n"/>
      <c r="F950" s="61" t="n"/>
      <c r="G950" s="59" t="n"/>
      <c r="H950" s="59" t="n"/>
      <c r="I950" s="67">
        <f>IF(OR(A950="",C950=""),"",IFERROR(INDEX('Produtos'!$F$5:$F$204,MATCH(C950,'Produtos'!$A$5:$A$204,0))+SUMIFS($F$5:$F$1004,$C$5:$C$1004,C950,$E$5:$E$1004,"Entrada",$A$5:$A$1004,"&lt;="&amp;A950)-SUMIFS($F$5:$F$1004,$C$5:$C$1004,C950,$E$5:$E$1004,"Saída",$A$5:$A$1004,"&lt;="&amp;A950),""))</f>
        <v/>
      </c>
      <c r="J950" s="68">
        <f>IF(A950="","",A950+ROW()/100000)</f>
        <v/>
      </c>
    </row>
    <row r="951">
      <c r="A951" s="65" t="n"/>
      <c r="B951" s="58" t="n"/>
      <c r="C951" s="58" t="n"/>
      <c r="D951" s="66">
        <f>IF(C951="","",IFERROR(INDEX('Produtos'!$B$5:$B$204,MATCH(C951,'Produtos'!$A$5:$A$204,0)),"Código não cadastrado"))</f>
        <v/>
      </c>
      <c r="E951" s="58" t="n"/>
      <c r="F951" s="61" t="n"/>
      <c r="G951" s="59" t="n"/>
      <c r="H951" s="59" t="n"/>
      <c r="I951" s="67">
        <f>IF(OR(A951="",C951=""),"",IFERROR(INDEX('Produtos'!$F$5:$F$204,MATCH(C951,'Produtos'!$A$5:$A$204,0))+SUMIFS($F$5:$F$1004,$C$5:$C$1004,C951,$E$5:$E$1004,"Entrada",$A$5:$A$1004,"&lt;="&amp;A951)-SUMIFS($F$5:$F$1004,$C$5:$C$1004,C951,$E$5:$E$1004,"Saída",$A$5:$A$1004,"&lt;="&amp;A951),""))</f>
        <v/>
      </c>
      <c r="J951" s="68">
        <f>IF(A951="","",A951+ROW()/100000)</f>
        <v/>
      </c>
    </row>
    <row r="952">
      <c r="A952" s="65" t="n"/>
      <c r="B952" s="58" t="n"/>
      <c r="C952" s="58" t="n"/>
      <c r="D952" s="66">
        <f>IF(C952="","",IFERROR(INDEX('Produtos'!$B$5:$B$204,MATCH(C952,'Produtos'!$A$5:$A$204,0)),"Código não cadastrado"))</f>
        <v/>
      </c>
      <c r="E952" s="58" t="n"/>
      <c r="F952" s="61" t="n"/>
      <c r="G952" s="59" t="n"/>
      <c r="H952" s="59" t="n"/>
      <c r="I952" s="67">
        <f>IF(OR(A952="",C952=""),"",IFERROR(INDEX('Produtos'!$F$5:$F$204,MATCH(C952,'Produtos'!$A$5:$A$204,0))+SUMIFS($F$5:$F$1004,$C$5:$C$1004,C952,$E$5:$E$1004,"Entrada",$A$5:$A$1004,"&lt;="&amp;A952)-SUMIFS($F$5:$F$1004,$C$5:$C$1004,C952,$E$5:$E$1004,"Saída",$A$5:$A$1004,"&lt;="&amp;A952),""))</f>
        <v/>
      </c>
      <c r="J952" s="68">
        <f>IF(A952="","",A952+ROW()/100000)</f>
        <v/>
      </c>
    </row>
    <row r="953">
      <c r="A953" s="65" t="n"/>
      <c r="B953" s="58" t="n"/>
      <c r="C953" s="58" t="n"/>
      <c r="D953" s="66">
        <f>IF(C953="","",IFERROR(INDEX('Produtos'!$B$5:$B$204,MATCH(C953,'Produtos'!$A$5:$A$204,0)),"Código não cadastrado"))</f>
        <v/>
      </c>
      <c r="E953" s="58" t="n"/>
      <c r="F953" s="61" t="n"/>
      <c r="G953" s="59" t="n"/>
      <c r="H953" s="59" t="n"/>
      <c r="I953" s="67">
        <f>IF(OR(A953="",C953=""),"",IFERROR(INDEX('Produtos'!$F$5:$F$204,MATCH(C953,'Produtos'!$A$5:$A$204,0))+SUMIFS($F$5:$F$1004,$C$5:$C$1004,C953,$E$5:$E$1004,"Entrada",$A$5:$A$1004,"&lt;="&amp;A953)-SUMIFS($F$5:$F$1004,$C$5:$C$1004,C953,$E$5:$E$1004,"Saída",$A$5:$A$1004,"&lt;="&amp;A953),""))</f>
        <v/>
      </c>
      <c r="J953" s="68">
        <f>IF(A953="","",A953+ROW()/100000)</f>
        <v/>
      </c>
    </row>
    <row r="954">
      <c r="A954" s="65" t="n"/>
      <c r="B954" s="58" t="n"/>
      <c r="C954" s="58" t="n"/>
      <c r="D954" s="66">
        <f>IF(C954="","",IFERROR(INDEX('Produtos'!$B$5:$B$204,MATCH(C954,'Produtos'!$A$5:$A$204,0)),"Código não cadastrado"))</f>
        <v/>
      </c>
      <c r="E954" s="58" t="n"/>
      <c r="F954" s="61" t="n"/>
      <c r="G954" s="59" t="n"/>
      <c r="H954" s="59" t="n"/>
      <c r="I954" s="67">
        <f>IF(OR(A954="",C954=""),"",IFERROR(INDEX('Produtos'!$F$5:$F$204,MATCH(C954,'Produtos'!$A$5:$A$204,0))+SUMIFS($F$5:$F$1004,$C$5:$C$1004,C954,$E$5:$E$1004,"Entrada",$A$5:$A$1004,"&lt;="&amp;A954)-SUMIFS($F$5:$F$1004,$C$5:$C$1004,C954,$E$5:$E$1004,"Saída",$A$5:$A$1004,"&lt;="&amp;A954),""))</f>
        <v/>
      </c>
      <c r="J954" s="68">
        <f>IF(A954="","",A954+ROW()/100000)</f>
        <v/>
      </c>
    </row>
    <row r="955">
      <c r="A955" s="65" t="n"/>
      <c r="B955" s="58" t="n"/>
      <c r="C955" s="58" t="n"/>
      <c r="D955" s="66">
        <f>IF(C955="","",IFERROR(INDEX('Produtos'!$B$5:$B$204,MATCH(C955,'Produtos'!$A$5:$A$204,0)),"Código não cadastrado"))</f>
        <v/>
      </c>
      <c r="E955" s="58" t="n"/>
      <c r="F955" s="61" t="n"/>
      <c r="G955" s="59" t="n"/>
      <c r="H955" s="59" t="n"/>
      <c r="I955" s="67">
        <f>IF(OR(A955="",C955=""),"",IFERROR(INDEX('Produtos'!$F$5:$F$204,MATCH(C955,'Produtos'!$A$5:$A$204,0))+SUMIFS($F$5:$F$1004,$C$5:$C$1004,C955,$E$5:$E$1004,"Entrada",$A$5:$A$1004,"&lt;="&amp;A955)-SUMIFS($F$5:$F$1004,$C$5:$C$1004,C955,$E$5:$E$1004,"Saída",$A$5:$A$1004,"&lt;="&amp;A955),""))</f>
        <v/>
      </c>
      <c r="J955" s="68">
        <f>IF(A955="","",A955+ROW()/100000)</f>
        <v/>
      </c>
    </row>
    <row r="956">
      <c r="A956" s="65" t="n"/>
      <c r="B956" s="58" t="n"/>
      <c r="C956" s="58" t="n"/>
      <c r="D956" s="66">
        <f>IF(C956="","",IFERROR(INDEX('Produtos'!$B$5:$B$204,MATCH(C956,'Produtos'!$A$5:$A$204,0)),"Código não cadastrado"))</f>
        <v/>
      </c>
      <c r="E956" s="58" t="n"/>
      <c r="F956" s="61" t="n"/>
      <c r="G956" s="59" t="n"/>
      <c r="H956" s="59" t="n"/>
      <c r="I956" s="67">
        <f>IF(OR(A956="",C956=""),"",IFERROR(INDEX('Produtos'!$F$5:$F$204,MATCH(C956,'Produtos'!$A$5:$A$204,0))+SUMIFS($F$5:$F$1004,$C$5:$C$1004,C956,$E$5:$E$1004,"Entrada",$A$5:$A$1004,"&lt;="&amp;A956)-SUMIFS($F$5:$F$1004,$C$5:$C$1004,C956,$E$5:$E$1004,"Saída",$A$5:$A$1004,"&lt;="&amp;A956),""))</f>
        <v/>
      </c>
      <c r="J956" s="68">
        <f>IF(A956="","",A956+ROW()/100000)</f>
        <v/>
      </c>
    </row>
    <row r="957">
      <c r="A957" s="65" t="n"/>
      <c r="B957" s="58" t="n"/>
      <c r="C957" s="58" t="n"/>
      <c r="D957" s="66">
        <f>IF(C957="","",IFERROR(INDEX('Produtos'!$B$5:$B$204,MATCH(C957,'Produtos'!$A$5:$A$204,0)),"Código não cadastrado"))</f>
        <v/>
      </c>
      <c r="E957" s="58" t="n"/>
      <c r="F957" s="61" t="n"/>
      <c r="G957" s="59" t="n"/>
      <c r="H957" s="59" t="n"/>
      <c r="I957" s="67">
        <f>IF(OR(A957="",C957=""),"",IFERROR(INDEX('Produtos'!$F$5:$F$204,MATCH(C957,'Produtos'!$A$5:$A$204,0))+SUMIFS($F$5:$F$1004,$C$5:$C$1004,C957,$E$5:$E$1004,"Entrada",$A$5:$A$1004,"&lt;="&amp;A957)-SUMIFS($F$5:$F$1004,$C$5:$C$1004,C957,$E$5:$E$1004,"Saída",$A$5:$A$1004,"&lt;="&amp;A957),""))</f>
        <v/>
      </c>
      <c r="J957" s="68">
        <f>IF(A957="","",A957+ROW()/100000)</f>
        <v/>
      </c>
    </row>
    <row r="958">
      <c r="A958" s="65" t="n"/>
      <c r="B958" s="58" t="n"/>
      <c r="C958" s="58" t="n"/>
      <c r="D958" s="66">
        <f>IF(C958="","",IFERROR(INDEX('Produtos'!$B$5:$B$204,MATCH(C958,'Produtos'!$A$5:$A$204,0)),"Código não cadastrado"))</f>
        <v/>
      </c>
      <c r="E958" s="58" t="n"/>
      <c r="F958" s="61" t="n"/>
      <c r="G958" s="59" t="n"/>
      <c r="H958" s="59" t="n"/>
      <c r="I958" s="67">
        <f>IF(OR(A958="",C958=""),"",IFERROR(INDEX('Produtos'!$F$5:$F$204,MATCH(C958,'Produtos'!$A$5:$A$204,0))+SUMIFS($F$5:$F$1004,$C$5:$C$1004,C958,$E$5:$E$1004,"Entrada",$A$5:$A$1004,"&lt;="&amp;A958)-SUMIFS($F$5:$F$1004,$C$5:$C$1004,C958,$E$5:$E$1004,"Saída",$A$5:$A$1004,"&lt;="&amp;A958),""))</f>
        <v/>
      </c>
      <c r="J958" s="68">
        <f>IF(A958="","",A958+ROW()/100000)</f>
        <v/>
      </c>
    </row>
    <row r="959">
      <c r="A959" s="65" t="n"/>
      <c r="B959" s="58" t="n"/>
      <c r="C959" s="58" t="n"/>
      <c r="D959" s="66">
        <f>IF(C959="","",IFERROR(INDEX('Produtos'!$B$5:$B$204,MATCH(C959,'Produtos'!$A$5:$A$204,0)),"Código não cadastrado"))</f>
        <v/>
      </c>
      <c r="E959" s="58" t="n"/>
      <c r="F959" s="61" t="n"/>
      <c r="G959" s="59" t="n"/>
      <c r="H959" s="59" t="n"/>
      <c r="I959" s="67">
        <f>IF(OR(A959="",C959=""),"",IFERROR(INDEX('Produtos'!$F$5:$F$204,MATCH(C959,'Produtos'!$A$5:$A$204,0))+SUMIFS($F$5:$F$1004,$C$5:$C$1004,C959,$E$5:$E$1004,"Entrada",$A$5:$A$1004,"&lt;="&amp;A959)-SUMIFS($F$5:$F$1004,$C$5:$C$1004,C959,$E$5:$E$1004,"Saída",$A$5:$A$1004,"&lt;="&amp;A959),""))</f>
        <v/>
      </c>
      <c r="J959" s="68">
        <f>IF(A959="","",A959+ROW()/100000)</f>
        <v/>
      </c>
    </row>
    <row r="960">
      <c r="A960" s="65" t="n"/>
      <c r="B960" s="58" t="n"/>
      <c r="C960" s="58" t="n"/>
      <c r="D960" s="66">
        <f>IF(C960="","",IFERROR(INDEX('Produtos'!$B$5:$B$204,MATCH(C960,'Produtos'!$A$5:$A$204,0)),"Código não cadastrado"))</f>
        <v/>
      </c>
      <c r="E960" s="58" t="n"/>
      <c r="F960" s="61" t="n"/>
      <c r="G960" s="59" t="n"/>
      <c r="H960" s="59" t="n"/>
      <c r="I960" s="67">
        <f>IF(OR(A960="",C960=""),"",IFERROR(INDEX('Produtos'!$F$5:$F$204,MATCH(C960,'Produtos'!$A$5:$A$204,0))+SUMIFS($F$5:$F$1004,$C$5:$C$1004,C960,$E$5:$E$1004,"Entrada",$A$5:$A$1004,"&lt;="&amp;A960)-SUMIFS($F$5:$F$1004,$C$5:$C$1004,C960,$E$5:$E$1004,"Saída",$A$5:$A$1004,"&lt;="&amp;A960),""))</f>
        <v/>
      </c>
      <c r="J960" s="68">
        <f>IF(A960="","",A960+ROW()/100000)</f>
        <v/>
      </c>
    </row>
    <row r="961">
      <c r="A961" s="65" t="n"/>
      <c r="B961" s="58" t="n"/>
      <c r="C961" s="58" t="n"/>
      <c r="D961" s="66">
        <f>IF(C961="","",IFERROR(INDEX('Produtos'!$B$5:$B$204,MATCH(C961,'Produtos'!$A$5:$A$204,0)),"Código não cadastrado"))</f>
        <v/>
      </c>
      <c r="E961" s="58" t="n"/>
      <c r="F961" s="61" t="n"/>
      <c r="G961" s="59" t="n"/>
      <c r="H961" s="59" t="n"/>
      <c r="I961" s="67">
        <f>IF(OR(A961="",C961=""),"",IFERROR(INDEX('Produtos'!$F$5:$F$204,MATCH(C961,'Produtos'!$A$5:$A$204,0))+SUMIFS($F$5:$F$1004,$C$5:$C$1004,C961,$E$5:$E$1004,"Entrada",$A$5:$A$1004,"&lt;="&amp;A961)-SUMIFS($F$5:$F$1004,$C$5:$C$1004,C961,$E$5:$E$1004,"Saída",$A$5:$A$1004,"&lt;="&amp;A961),""))</f>
        <v/>
      </c>
      <c r="J961" s="68">
        <f>IF(A961="","",A961+ROW()/100000)</f>
        <v/>
      </c>
    </row>
    <row r="962">
      <c r="A962" s="65" t="n"/>
      <c r="B962" s="58" t="n"/>
      <c r="C962" s="58" t="n"/>
      <c r="D962" s="66">
        <f>IF(C962="","",IFERROR(INDEX('Produtos'!$B$5:$B$204,MATCH(C962,'Produtos'!$A$5:$A$204,0)),"Código não cadastrado"))</f>
        <v/>
      </c>
      <c r="E962" s="58" t="n"/>
      <c r="F962" s="61" t="n"/>
      <c r="G962" s="59" t="n"/>
      <c r="H962" s="59" t="n"/>
      <c r="I962" s="67">
        <f>IF(OR(A962="",C962=""),"",IFERROR(INDEX('Produtos'!$F$5:$F$204,MATCH(C962,'Produtos'!$A$5:$A$204,0))+SUMIFS($F$5:$F$1004,$C$5:$C$1004,C962,$E$5:$E$1004,"Entrada",$A$5:$A$1004,"&lt;="&amp;A962)-SUMIFS($F$5:$F$1004,$C$5:$C$1004,C962,$E$5:$E$1004,"Saída",$A$5:$A$1004,"&lt;="&amp;A962),""))</f>
        <v/>
      </c>
      <c r="J962" s="68">
        <f>IF(A962="","",A962+ROW()/100000)</f>
        <v/>
      </c>
    </row>
    <row r="963">
      <c r="A963" s="65" t="n"/>
      <c r="B963" s="58" t="n"/>
      <c r="C963" s="58" t="n"/>
      <c r="D963" s="66">
        <f>IF(C963="","",IFERROR(INDEX('Produtos'!$B$5:$B$204,MATCH(C963,'Produtos'!$A$5:$A$204,0)),"Código não cadastrado"))</f>
        <v/>
      </c>
      <c r="E963" s="58" t="n"/>
      <c r="F963" s="61" t="n"/>
      <c r="G963" s="59" t="n"/>
      <c r="H963" s="59" t="n"/>
      <c r="I963" s="67">
        <f>IF(OR(A963="",C963=""),"",IFERROR(INDEX('Produtos'!$F$5:$F$204,MATCH(C963,'Produtos'!$A$5:$A$204,0))+SUMIFS($F$5:$F$1004,$C$5:$C$1004,C963,$E$5:$E$1004,"Entrada",$A$5:$A$1004,"&lt;="&amp;A963)-SUMIFS($F$5:$F$1004,$C$5:$C$1004,C963,$E$5:$E$1004,"Saída",$A$5:$A$1004,"&lt;="&amp;A963),""))</f>
        <v/>
      </c>
      <c r="J963" s="68">
        <f>IF(A963="","",A963+ROW()/100000)</f>
        <v/>
      </c>
    </row>
    <row r="964">
      <c r="A964" s="65" t="n"/>
      <c r="B964" s="58" t="n"/>
      <c r="C964" s="58" t="n"/>
      <c r="D964" s="66">
        <f>IF(C964="","",IFERROR(INDEX('Produtos'!$B$5:$B$204,MATCH(C964,'Produtos'!$A$5:$A$204,0)),"Código não cadastrado"))</f>
        <v/>
      </c>
      <c r="E964" s="58" t="n"/>
      <c r="F964" s="61" t="n"/>
      <c r="G964" s="59" t="n"/>
      <c r="H964" s="59" t="n"/>
      <c r="I964" s="67">
        <f>IF(OR(A964="",C964=""),"",IFERROR(INDEX('Produtos'!$F$5:$F$204,MATCH(C964,'Produtos'!$A$5:$A$204,0))+SUMIFS($F$5:$F$1004,$C$5:$C$1004,C964,$E$5:$E$1004,"Entrada",$A$5:$A$1004,"&lt;="&amp;A964)-SUMIFS($F$5:$F$1004,$C$5:$C$1004,C964,$E$5:$E$1004,"Saída",$A$5:$A$1004,"&lt;="&amp;A964),""))</f>
        <v/>
      </c>
      <c r="J964" s="68">
        <f>IF(A964="","",A964+ROW()/100000)</f>
        <v/>
      </c>
    </row>
    <row r="965">
      <c r="A965" s="65" t="n"/>
      <c r="B965" s="58" t="n"/>
      <c r="C965" s="58" t="n"/>
      <c r="D965" s="66">
        <f>IF(C965="","",IFERROR(INDEX('Produtos'!$B$5:$B$204,MATCH(C965,'Produtos'!$A$5:$A$204,0)),"Código não cadastrado"))</f>
        <v/>
      </c>
      <c r="E965" s="58" t="n"/>
      <c r="F965" s="61" t="n"/>
      <c r="G965" s="59" t="n"/>
      <c r="H965" s="59" t="n"/>
      <c r="I965" s="67">
        <f>IF(OR(A965="",C965=""),"",IFERROR(INDEX('Produtos'!$F$5:$F$204,MATCH(C965,'Produtos'!$A$5:$A$204,0))+SUMIFS($F$5:$F$1004,$C$5:$C$1004,C965,$E$5:$E$1004,"Entrada",$A$5:$A$1004,"&lt;="&amp;A965)-SUMIFS($F$5:$F$1004,$C$5:$C$1004,C965,$E$5:$E$1004,"Saída",$A$5:$A$1004,"&lt;="&amp;A965),""))</f>
        <v/>
      </c>
      <c r="J965" s="68">
        <f>IF(A965="","",A965+ROW()/100000)</f>
        <v/>
      </c>
    </row>
    <row r="966">
      <c r="A966" s="65" t="n"/>
      <c r="B966" s="58" t="n"/>
      <c r="C966" s="58" t="n"/>
      <c r="D966" s="66">
        <f>IF(C966="","",IFERROR(INDEX('Produtos'!$B$5:$B$204,MATCH(C966,'Produtos'!$A$5:$A$204,0)),"Código não cadastrado"))</f>
        <v/>
      </c>
      <c r="E966" s="58" t="n"/>
      <c r="F966" s="61" t="n"/>
      <c r="G966" s="59" t="n"/>
      <c r="H966" s="59" t="n"/>
      <c r="I966" s="67">
        <f>IF(OR(A966="",C966=""),"",IFERROR(INDEX('Produtos'!$F$5:$F$204,MATCH(C966,'Produtos'!$A$5:$A$204,0))+SUMIFS($F$5:$F$1004,$C$5:$C$1004,C966,$E$5:$E$1004,"Entrada",$A$5:$A$1004,"&lt;="&amp;A966)-SUMIFS($F$5:$F$1004,$C$5:$C$1004,C966,$E$5:$E$1004,"Saída",$A$5:$A$1004,"&lt;="&amp;A966),""))</f>
        <v/>
      </c>
      <c r="J966" s="68">
        <f>IF(A966="","",A966+ROW()/100000)</f>
        <v/>
      </c>
    </row>
    <row r="967">
      <c r="A967" s="65" t="n"/>
      <c r="B967" s="58" t="n"/>
      <c r="C967" s="58" t="n"/>
      <c r="D967" s="66">
        <f>IF(C967="","",IFERROR(INDEX('Produtos'!$B$5:$B$204,MATCH(C967,'Produtos'!$A$5:$A$204,0)),"Código não cadastrado"))</f>
        <v/>
      </c>
      <c r="E967" s="58" t="n"/>
      <c r="F967" s="61" t="n"/>
      <c r="G967" s="59" t="n"/>
      <c r="H967" s="59" t="n"/>
      <c r="I967" s="67">
        <f>IF(OR(A967="",C967=""),"",IFERROR(INDEX('Produtos'!$F$5:$F$204,MATCH(C967,'Produtos'!$A$5:$A$204,0))+SUMIFS($F$5:$F$1004,$C$5:$C$1004,C967,$E$5:$E$1004,"Entrada",$A$5:$A$1004,"&lt;="&amp;A967)-SUMIFS($F$5:$F$1004,$C$5:$C$1004,C967,$E$5:$E$1004,"Saída",$A$5:$A$1004,"&lt;="&amp;A967),""))</f>
        <v/>
      </c>
      <c r="J967" s="68">
        <f>IF(A967="","",A967+ROW()/100000)</f>
        <v/>
      </c>
    </row>
    <row r="968">
      <c r="A968" s="65" t="n"/>
      <c r="B968" s="58" t="n"/>
      <c r="C968" s="58" t="n"/>
      <c r="D968" s="66">
        <f>IF(C968="","",IFERROR(INDEX('Produtos'!$B$5:$B$204,MATCH(C968,'Produtos'!$A$5:$A$204,0)),"Código não cadastrado"))</f>
        <v/>
      </c>
      <c r="E968" s="58" t="n"/>
      <c r="F968" s="61" t="n"/>
      <c r="G968" s="59" t="n"/>
      <c r="H968" s="59" t="n"/>
      <c r="I968" s="67">
        <f>IF(OR(A968="",C968=""),"",IFERROR(INDEX('Produtos'!$F$5:$F$204,MATCH(C968,'Produtos'!$A$5:$A$204,0))+SUMIFS($F$5:$F$1004,$C$5:$C$1004,C968,$E$5:$E$1004,"Entrada",$A$5:$A$1004,"&lt;="&amp;A968)-SUMIFS($F$5:$F$1004,$C$5:$C$1004,C968,$E$5:$E$1004,"Saída",$A$5:$A$1004,"&lt;="&amp;A968),""))</f>
        <v/>
      </c>
      <c r="J968" s="68">
        <f>IF(A968="","",A968+ROW()/100000)</f>
        <v/>
      </c>
    </row>
    <row r="969">
      <c r="A969" s="65" t="n"/>
      <c r="B969" s="58" t="n"/>
      <c r="C969" s="58" t="n"/>
      <c r="D969" s="66">
        <f>IF(C969="","",IFERROR(INDEX('Produtos'!$B$5:$B$204,MATCH(C969,'Produtos'!$A$5:$A$204,0)),"Código não cadastrado"))</f>
        <v/>
      </c>
      <c r="E969" s="58" t="n"/>
      <c r="F969" s="61" t="n"/>
      <c r="G969" s="59" t="n"/>
      <c r="H969" s="59" t="n"/>
      <c r="I969" s="67">
        <f>IF(OR(A969="",C969=""),"",IFERROR(INDEX('Produtos'!$F$5:$F$204,MATCH(C969,'Produtos'!$A$5:$A$204,0))+SUMIFS($F$5:$F$1004,$C$5:$C$1004,C969,$E$5:$E$1004,"Entrada",$A$5:$A$1004,"&lt;="&amp;A969)-SUMIFS($F$5:$F$1004,$C$5:$C$1004,C969,$E$5:$E$1004,"Saída",$A$5:$A$1004,"&lt;="&amp;A969),""))</f>
        <v/>
      </c>
      <c r="J969" s="68">
        <f>IF(A969="","",A969+ROW()/100000)</f>
        <v/>
      </c>
    </row>
    <row r="970">
      <c r="A970" s="65" t="n"/>
      <c r="B970" s="58" t="n"/>
      <c r="C970" s="58" t="n"/>
      <c r="D970" s="66">
        <f>IF(C970="","",IFERROR(INDEX('Produtos'!$B$5:$B$204,MATCH(C970,'Produtos'!$A$5:$A$204,0)),"Código não cadastrado"))</f>
        <v/>
      </c>
      <c r="E970" s="58" t="n"/>
      <c r="F970" s="61" t="n"/>
      <c r="G970" s="59" t="n"/>
      <c r="H970" s="59" t="n"/>
      <c r="I970" s="67">
        <f>IF(OR(A970="",C970=""),"",IFERROR(INDEX('Produtos'!$F$5:$F$204,MATCH(C970,'Produtos'!$A$5:$A$204,0))+SUMIFS($F$5:$F$1004,$C$5:$C$1004,C970,$E$5:$E$1004,"Entrada",$A$5:$A$1004,"&lt;="&amp;A970)-SUMIFS($F$5:$F$1004,$C$5:$C$1004,C970,$E$5:$E$1004,"Saída",$A$5:$A$1004,"&lt;="&amp;A970),""))</f>
        <v/>
      </c>
      <c r="J970" s="68">
        <f>IF(A970="","",A970+ROW()/100000)</f>
        <v/>
      </c>
    </row>
    <row r="971">
      <c r="A971" s="65" t="n"/>
      <c r="B971" s="58" t="n"/>
      <c r="C971" s="58" t="n"/>
      <c r="D971" s="66">
        <f>IF(C971="","",IFERROR(INDEX('Produtos'!$B$5:$B$204,MATCH(C971,'Produtos'!$A$5:$A$204,0)),"Código não cadastrado"))</f>
        <v/>
      </c>
      <c r="E971" s="58" t="n"/>
      <c r="F971" s="61" t="n"/>
      <c r="G971" s="59" t="n"/>
      <c r="H971" s="59" t="n"/>
      <c r="I971" s="67">
        <f>IF(OR(A971="",C971=""),"",IFERROR(INDEX('Produtos'!$F$5:$F$204,MATCH(C971,'Produtos'!$A$5:$A$204,0))+SUMIFS($F$5:$F$1004,$C$5:$C$1004,C971,$E$5:$E$1004,"Entrada",$A$5:$A$1004,"&lt;="&amp;A971)-SUMIFS($F$5:$F$1004,$C$5:$C$1004,C971,$E$5:$E$1004,"Saída",$A$5:$A$1004,"&lt;="&amp;A971),""))</f>
        <v/>
      </c>
      <c r="J971" s="68">
        <f>IF(A971="","",A971+ROW()/100000)</f>
        <v/>
      </c>
    </row>
    <row r="972">
      <c r="A972" s="65" t="n"/>
      <c r="B972" s="58" t="n"/>
      <c r="C972" s="58" t="n"/>
      <c r="D972" s="66">
        <f>IF(C972="","",IFERROR(INDEX('Produtos'!$B$5:$B$204,MATCH(C972,'Produtos'!$A$5:$A$204,0)),"Código não cadastrado"))</f>
        <v/>
      </c>
      <c r="E972" s="58" t="n"/>
      <c r="F972" s="61" t="n"/>
      <c r="G972" s="59" t="n"/>
      <c r="H972" s="59" t="n"/>
      <c r="I972" s="67">
        <f>IF(OR(A972="",C972=""),"",IFERROR(INDEX('Produtos'!$F$5:$F$204,MATCH(C972,'Produtos'!$A$5:$A$204,0))+SUMIFS($F$5:$F$1004,$C$5:$C$1004,C972,$E$5:$E$1004,"Entrada",$A$5:$A$1004,"&lt;="&amp;A972)-SUMIFS($F$5:$F$1004,$C$5:$C$1004,C972,$E$5:$E$1004,"Saída",$A$5:$A$1004,"&lt;="&amp;A972),""))</f>
        <v/>
      </c>
      <c r="J972" s="68">
        <f>IF(A972="","",A972+ROW()/100000)</f>
        <v/>
      </c>
    </row>
    <row r="973">
      <c r="A973" s="65" t="n"/>
      <c r="B973" s="58" t="n"/>
      <c r="C973" s="58" t="n"/>
      <c r="D973" s="66">
        <f>IF(C973="","",IFERROR(INDEX('Produtos'!$B$5:$B$204,MATCH(C973,'Produtos'!$A$5:$A$204,0)),"Código não cadastrado"))</f>
        <v/>
      </c>
      <c r="E973" s="58" t="n"/>
      <c r="F973" s="61" t="n"/>
      <c r="G973" s="59" t="n"/>
      <c r="H973" s="59" t="n"/>
      <c r="I973" s="67">
        <f>IF(OR(A973="",C973=""),"",IFERROR(INDEX('Produtos'!$F$5:$F$204,MATCH(C973,'Produtos'!$A$5:$A$204,0))+SUMIFS($F$5:$F$1004,$C$5:$C$1004,C973,$E$5:$E$1004,"Entrada",$A$5:$A$1004,"&lt;="&amp;A973)-SUMIFS($F$5:$F$1004,$C$5:$C$1004,C973,$E$5:$E$1004,"Saída",$A$5:$A$1004,"&lt;="&amp;A973),""))</f>
        <v/>
      </c>
      <c r="J973" s="68">
        <f>IF(A973="","",A973+ROW()/100000)</f>
        <v/>
      </c>
    </row>
    <row r="974">
      <c r="A974" s="65" t="n"/>
      <c r="B974" s="58" t="n"/>
      <c r="C974" s="58" t="n"/>
      <c r="D974" s="66">
        <f>IF(C974="","",IFERROR(INDEX('Produtos'!$B$5:$B$204,MATCH(C974,'Produtos'!$A$5:$A$204,0)),"Código não cadastrado"))</f>
        <v/>
      </c>
      <c r="E974" s="58" t="n"/>
      <c r="F974" s="61" t="n"/>
      <c r="G974" s="59" t="n"/>
      <c r="H974" s="59" t="n"/>
      <c r="I974" s="67">
        <f>IF(OR(A974="",C974=""),"",IFERROR(INDEX('Produtos'!$F$5:$F$204,MATCH(C974,'Produtos'!$A$5:$A$204,0))+SUMIFS($F$5:$F$1004,$C$5:$C$1004,C974,$E$5:$E$1004,"Entrada",$A$5:$A$1004,"&lt;="&amp;A974)-SUMIFS($F$5:$F$1004,$C$5:$C$1004,C974,$E$5:$E$1004,"Saída",$A$5:$A$1004,"&lt;="&amp;A974),""))</f>
        <v/>
      </c>
      <c r="J974" s="68">
        <f>IF(A974="","",A974+ROW()/100000)</f>
        <v/>
      </c>
    </row>
    <row r="975">
      <c r="A975" s="65" t="n"/>
      <c r="B975" s="58" t="n"/>
      <c r="C975" s="58" t="n"/>
      <c r="D975" s="66">
        <f>IF(C975="","",IFERROR(INDEX('Produtos'!$B$5:$B$204,MATCH(C975,'Produtos'!$A$5:$A$204,0)),"Código não cadastrado"))</f>
        <v/>
      </c>
      <c r="E975" s="58" t="n"/>
      <c r="F975" s="61" t="n"/>
      <c r="G975" s="59" t="n"/>
      <c r="H975" s="59" t="n"/>
      <c r="I975" s="67">
        <f>IF(OR(A975="",C975=""),"",IFERROR(INDEX('Produtos'!$F$5:$F$204,MATCH(C975,'Produtos'!$A$5:$A$204,0))+SUMIFS($F$5:$F$1004,$C$5:$C$1004,C975,$E$5:$E$1004,"Entrada",$A$5:$A$1004,"&lt;="&amp;A975)-SUMIFS($F$5:$F$1004,$C$5:$C$1004,C975,$E$5:$E$1004,"Saída",$A$5:$A$1004,"&lt;="&amp;A975),""))</f>
        <v/>
      </c>
      <c r="J975" s="68">
        <f>IF(A975="","",A975+ROW()/100000)</f>
        <v/>
      </c>
    </row>
    <row r="976">
      <c r="A976" s="65" t="n"/>
      <c r="B976" s="58" t="n"/>
      <c r="C976" s="58" t="n"/>
      <c r="D976" s="66">
        <f>IF(C976="","",IFERROR(INDEX('Produtos'!$B$5:$B$204,MATCH(C976,'Produtos'!$A$5:$A$204,0)),"Código não cadastrado"))</f>
        <v/>
      </c>
      <c r="E976" s="58" t="n"/>
      <c r="F976" s="61" t="n"/>
      <c r="G976" s="59" t="n"/>
      <c r="H976" s="59" t="n"/>
      <c r="I976" s="67">
        <f>IF(OR(A976="",C976=""),"",IFERROR(INDEX('Produtos'!$F$5:$F$204,MATCH(C976,'Produtos'!$A$5:$A$204,0))+SUMIFS($F$5:$F$1004,$C$5:$C$1004,C976,$E$5:$E$1004,"Entrada",$A$5:$A$1004,"&lt;="&amp;A976)-SUMIFS($F$5:$F$1004,$C$5:$C$1004,C976,$E$5:$E$1004,"Saída",$A$5:$A$1004,"&lt;="&amp;A976),""))</f>
        <v/>
      </c>
      <c r="J976" s="68">
        <f>IF(A976="","",A976+ROW()/100000)</f>
        <v/>
      </c>
    </row>
    <row r="977">
      <c r="A977" s="65" t="n"/>
      <c r="B977" s="58" t="n"/>
      <c r="C977" s="58" t="n"/>
      <c r="D977" s="66">
        <f>IF(C977="","",IFERROR(INDEX('Produtos'!$B$5:$B$204,MATCH(C977,'Produtos'!$A$5:$A$204,0)),"Código não cadastrado"))</f>
        <v/>
      </c>
      <c r="E977" s="58" t="n"/>
      <c r="F977" s="61" t="n"/>
      <c r="G977" s="59" t="n"/>
      <c r="H977" s="59" t="n"/>
      <c r="I977" s="67">
        <f>IF(OR(A977="",C977=""),"",IFERROR(INDEX('Produtos'!$F$5:$F$204,MATCH(C977,'Produtos'!$A$5:$A$204,0))+SUMIFS($F$5:$F$1004,$C$5:$C$1004,C977,$E$5:$E$1004,"Entrada",$A$5:$A$1004,"&lt;="&amp;A977)-SUMIFS($F$5:$F$1004,$C$5:$C$1004,C977,$E$5:$E$1004,"Saída",$A$5:$A$1004,"&lt;="&amp;A977),""))</f>
        <v/>
      </c>
      <c r="J977" s="68">
        <f>IF(A977="","",A977+ROW()/100000)</f>
        <v/>
      </c>
    </row>
    <row r="978">
      <c r="A978" s="65" t="n"/>
      <c r="B978" s="58" t="n"/>
      <c r="C978" s="58" t="n"/>
      <c r="D978" s="66">
        <f>IF(C978="","",IFERROR(INDEX('Produtos'!$B$5:$B$204,MATCH(C978,'Produtos'!$A$5:$A$204,0)),"Código não cadastrado"))</f>
        <v/>
      </c>
      <c r="E978" s="58" t="n"/>
      <c r="F978" s="61" t="n"/>
      <c r="G978" s="59" t="n"/>
      <c r="H978" s="59" t="n"/>
      <c r="I978" s="67">
        <f>IF(OR(A978="",C978=""),"",IFERROR(INDEX('Produtos'!$F$5:$F$204,MATCH(C978,'Produtos'!$A$5:$A$204,0))+SUMIFS($F$5:$F$1004,$C$5:$C$1004,C978,$E$5:$E$1004,"Entrada",$A$5:$A$1004,"&lt;="&amp;A978)-SUMIFS($F$5:$F$1004,$C$5:$C$1004,C978,$E$5:$E$1004,"Saída",$A$5:$A$1004,"&lt;="&amp;A978),""))</f>
        <v/>
      </c>
      <c r="J978" s="68">
        <f>IF(A978="","",A978+ROW()/100000)</f>
        <v/>
      </c>
    </row>
    <row r="979">
      <c r="A979" s="65" t="n"/>
      <c r="B979" s="58" t="n"/>
      <c r="C979" s="58" t="n"/>
      <c r="D979" s="66">
        <f>IF(C979="","",IFERROR(INDEX('Produtos'!$B$5:$B$204,MATCH(C979,'Produtos'!$A$5:$A$204,0)),"Código não cadastrado"))</f>
        <v/>
      </c>
      <c r="E979" s="58" t="n"/>
      <c r="F979" s="61" t="n"/>
      <c r="G979" s="59" t="n"/>
      <c r="H979" s="59" t="n"/>
      <c r="I979" s="67">
        <f>IF(OR(A979="",C979=""),"",IFERROR(INDEX('Produtos'!$F$5:$F$204,MATCH(C979,'Produtos'!$A$5:$A$204,0))+SUMIFS($F$5:$F$1004,$C$5:$C$1004,C979,$E$5:$E$1004,"Entrada",$A$5:$A$1004,"&lt;="&amp;A979)-SUMIFS($F$5:$F$1004,$C$5:$C$1004,C979,$E$5:$E$1004,"Saída",$A$5:$A$1004,"&lt;="&amp;A979),""))</f>
        <v/>
      </c>
      <c r="J979" s="68">
        <f>IF(A979="","",A979+ROW()/100000)</f>
        <v/>
      </c>
    </row>
    <row r="980">
      <c r="A980" s="65" t="n"/>
      <c r="B980" s="58" t="n"/>
      <c r="C980" s="58" t="n"/>
      <c r="D980" s="66">
        <f>IF(C980="","",IFERROR(INDEX('Produtos'!$B$5:$B$204,MATCH(C980,'Produtos'!$A$5:$A$204,0)),"Código não cadastrado"))</f>
        <v/>
      </c>
      <c r="E980" s="58" t="n"/>
      <c r="F980" s="61" t="n"/>
      <c r="G980" s="59" t="n"/>
      <c r="H980" s="59" t="n"/>
      <c r="I980" s="67">
        <f>IF(OR(A980="",C980=""),"",IFERROR(INDEX('Produtos'!$F$5:$F$204,MATCH(C980,'Produtos'!$A$5:$A$204,0))+SUMIFS($F$5:$F$1004,$C$5:$C$1004,C980,$E$5:$E$1004,"Entrada",$A$5:$A$1004,"&lt;="&amp;A980)-SUMIFS($F$5:$F$1004,$C$5:$C$1004,C980,$E$5:$E$1004,"Saída",$A$5:$A$1004,"&lt;="&amp;A980),""))</f>
        <v/>
      </c>
      <c r="J980" s="68">
        <f>IF(A980="","",A980+ROW()/100000)</f>
        <v/>
      </c>
    </row>
    <row r="981">
      <c r="A981" s="65" t="n"/>
      <c r="B981" s="58" t="n"/>
      <c r="C981" s="58" t="n"/>
      <c r="D981" s="66">
        <f>IF(C981="","",IFERROR(INDEX('Produtos'!$B$5:$B$204,MATCH(C981,'Produtos'!$A$5:$A$204,0)),"Código não cadastrado"))</f>
        <v/>
      </c>
      <c r="E981" s="58" t="n"/>
      <c r="F981" s="61" t="n"/>
      <c r="G981" s="59" t="n"/>
      <c r="H981" s="59" t="n"/>
      <c r="I981" s="67">
        <f>IF(OR(A981="",C981=""),"",IFERROR(INDEX('Produtos'!$F$5:$F$204,MATCH(C981,'Produtos'!$A$5:$A$204,0))+SUMIFS($F$5:$F$1004,$C$5:$C$1004,C981,$E$5:$E$1004,"Entrada",$A$5:$A$1004,"&lt;="&amp;A981)-SUMIFS($F$5:$F$1004,$C$5:$C$1004,C981,$E$5:$E$1004,"Saída",$A$5:$A$1004,"&lt;="&amp;A981),""))</f>
        <v/>
      </c>
      <c r="J981" s="68">
        <f>IF(A981="","",A981+ROW()/100000)</f>
        <v/>
      </c>
    </row>
    <row r="982">
      <c r="A982" s="65" t="n"/>
      <c r="B982" s="58" t="n"/>
      <c r="C982" s="58" t="n"/>
      <c r="D982" s="66">
        <f>IF(C982="","",IFERROR(INDEX('Produtos'!$B$5:$B$204,MATCH(C982,'Produtos'!$A$5:$A$204,0)),"Código não cadastrado"))</f>
        <v/>
      </c>
      <c r="E982" s="58" t="n"/>
      <c r="F982" s="61" t="n"/>
      <c r="G982" s="59" t="n"/>
      <c r="H982" s="59" t="n"/>
      <c r="I982" s="67">
        <f>IF(OR(A982="",C982=""),"",IFERROR(INDEX('Produtos'!$F$5:$F$204,MATCH(C982,'Produtos'!$A$5:$A$204,0))+SUMIFS($F$5:$F$1004,$C$5:$C$1004,C982,$E$5:$E$1004,"Entrada",$A$5:$A$1004,"&lt;="&amp;A982)-SUMIFS($F$5:$F$1004,$C$5:$C$1004,C982,$E$5:$E$1004,"Saída",$A$5:$A$1004,"&lt;="&amp;A982),""))</f>
        <v/>
      </c>
      <c r="J982" s="68">
        <f>IF(A982="","",A982+ROW()/100000)</f>
        <v/>
      </c>
    </row>
    <row r="983">
      <c r="A983" s="65" t="n"/>
      <c r="B983" s="58" t="n"/>
      <c r="C983" s="58" t="n"/>
      <c r="D983" s="66">
        <f>IF(C983="","",IFERROR(INDEX('Produtos'!$B$5:$B$204,MATCH(C983,'Produtos'!$A$5:$A$204,0)),"Código não cadastrado"))</f>
        <v/>
      </c>
      <c r="E983" s="58" t="n"/>
      <c r="F983" s="61" t="n"/>
      <c r="G983" s="59" t="n"/>
      <c r="H983" s="59" t="n"/>
      <c r="I983" s="67">
        <f>IF(OR(A983="",C983=""),"",IFERROR(INDEX('Produtos'!$F$5:$F$204,MATCH(C983,'Produtos'!$A$5:$A$204,0))+SUMIFS($F$5:$F$1004,$C$5:$C$1004,C983,$E$5:$E$1004,"Entrada",$A$5:$A$1004,"&lt;="&amp;A983)-SUMIFS($F$5:$F$1004,$C$5:$C$1004,C983,$E$5:$E$1004,"Saída",$A$5:$A$1004,"&lt;="&amp;A983),""))</f>
        <v/>
      </c>
      <c r="J983" s="68">
        <f>IF(A983="","",A983+ROW()/100000)</f>
        <v/>
      </c>
    </row>
    <row r="984">
      <c r="A984" s="65" t="n"/>
      <c r="B984" s="58" t="n"/>
      <c r="C984" s="58" t="n"/>
      <c r="D984" s="66">
        <f>IF(C984="","",IFERROR(INDEX('Produtos'!$B$5:$B$204,MATCH(C984,'Produtos'!$A$5:$A$204,0)),"Código não cadastrado"))</f>
        <v/>
      </c>
      <c r="E984" s="58" t="n"/>
      <c r="F984" s="61" t="n"/>
      <c r="G984" s="59" t="n"/>
      <c r="H984" s="59" t="n"/>
      <c r="I984" s="67">
        <f>IF(OR(A984="",C984=""),"",IFERROR(INDEX('Produtos'!$F$5:$F$204,MATCH(C984,'Produtos'!$A$5:$A$204,0))+SUMIFS($F$5:$F$1004,$C$5:$C$1004,C984,$E$5:$E$1004,"Entrada",$A$5:$A$1004,"&lt;="&amp;A984)-SUMIFS($F$5:$F$1004,$C$5:$C$1004,C984,$E$5:$E$1004,"Saída",$A$5:$A$1004,"&lt;="&amp;A984),""))</f>
        <v/>
      </c>
      <c r="J984" s="68">
        <f>IF(A984="","",A984+ROW()/100000)</f>
        <v/>
      </c>
    </row>
    <row r="985">
      <c r="A985" s="65" t="n"/>
      <c r="B985" s="58" t="n"/>
      <c r="C985" s="58" t="n"/>
      <c r="D985" s="66">
        <f>IF(C985="","",IFERROR(INDEX('Produtos'!$B$5:$B$204,MATCH(C985,'Produtos'!$A$5:$A$204,0)),"Código não cadastrado"))</f>
        <v/>
      </c>
      <c r="E985" s="58" t="n"/>
      <c r="F985" s="61" t="n"/>
      <c r="G985" s="59" t="n"/>
      <c r="H985" s="59" t="n"/>
      <c r="I985" s="67">
        <f>IF(OR(A985="",C985=""),"",IFERROR(INDEX('Produtos'!$F$5:$F$204,MATCH(C985,'Produtos'!$A$5:$A$204,0))+SUMIFS($F$5:$F$1004,$C$5:$C$1004,C985,$E$5:$E$1004,"Entrada",$A$5:$A$1004,"&lt;="&amp;A985)-SUMIFS($F$5:$F$1004,$C$5:$C$1004,C985,$E$5:$E$1004,"Saída",$A$5:$A$1004,"&lt;="&amp;A985),""))</f>
        <v/>
      </c>
      <c r="J985" s="68">
        <f>IF(A985="","",A985+ROW()/100000)</f>
        <v/>
      </c>
    </row>
    <row r="986">
      <c r="A986" s="65" t="n"/>
      <c r="B986" s="58" t="n"/>
      <c r="C986" s="58" t="n"/>
      <c r="D986" s="66">
        <f>IF(C986="","",IFERROR(INDEX('Produtos'!$B$5:$B$204,MATCH(C986,'Produtos'!$A$5:$A$204,0)),"Código não cadastrado"))</f>
        <v/>
      </c>
      <c r="E986" s="58" t="n"/>
      <c r="F986" s="61" t="n"/>
      <c r="G986" s="59" t="n"/>
      <c r="H986" s="59" t="n"/>
      <c r="I986" s="67">
        <f>IF(OR(A986="",C986=""),"",IFERROR(INDEX('Produtos'!$F$5:$F$204,MATCH(C986,'Produtos'!$A$5:$A$204,0))+SUMIFS($F$5:$F$1004,$C$5:$C$1004,C986,$E$5:$E$1004,"Entrada",$A$5:$A$1004,"&lt;="&amp;A986)-SUMIFS($F$5:$F$1004,$C$5:$C$1004,C986,$E$5:$E$1004,"Saída",$A$5:$A$1004,"&lt;="&amp;A986),""))</f>
        <v/>
      </c>
      <c r="J986" s="68">
        <f>IF(A986="","",A986+ROW()/100000)</f>
        <v/>
      </c>
    </row>
    <row r="987">
      <c r="A987" s="65" t="n"/>
      <c r="B987" s="58" t="n"/>
      <c r="C987" s="58" t="n"/>
      <c r="D987" s="66">
        <f>IF(C987="","",IFERROR(INDEX('Produtos'!$B$5:$B$204,MATCH(C987,'Produtos'!$A$5:$A$204,0)),"Código não cadastrado"))</f>
        <v/>
      </c>
      <c r="E987" s="58" t="n"/>
      <c r="F987" s="61" t="n"/>
      <c r="G987" s="59" t="n"/>
      <c r="H987" s="59" t="n"/>
      <c r="I987" s="67">
        <f>IF(OR(A987="",C987=""),"",IFERROR(INDEX('Produtos'!$F$5:$F$204,MATCH(C987,'Produtos'!$A$5:$A$204,0))+SUMIFS($F$5:$F$1004,$C$5:$C$1004,C987,$E$5:$E$1004,"Entrada",$A$5:$A$1004,"&lt;="&amp;A987)-SUMIFS($F$5:$F$1004,$C$5:$C$1004,C987,$E$5:$E$1004,"Saída",$A$5:$A$1004,"&lt;="&amp;A987),""))</f>
        <v/>
      </c>
      <c r="J987" s="68">
        <f>IF(A987="","",A987+ROW()/100000)</f>
        <v/>
      </c>
    </row>
    <row r="988">
      <c r="A988" s="65" t="n"/>
      <c r="B988" s="58" t="n"/>
      <c r="C988" s="58" t="n"/>
      <c r="D988" s="66">
        <f>IF(C988="","",IFERROR(INDEX('Produtos'!$B$5:$B$204,MATCH(C988,'Produtos'!$A$5:$A$204,0)),"Código não cadastrado"))</f>
        <v/>
      </c>
      <c r="E988" s="58" t="n"/>
      <c r="F988" s="61" t="n"/>
      <c r="G988" s="59" t="n"/>
      <c r="H988" s="59" t="n"/>
      <c r="I988" s="67">
        <f>IF(OR(A988="",C988=""),"",IFERROR(INDEX('Produtos'!$F$5:$F$204,MATCH(C988,'Produtos'!$A$5:$A$204,0))+SUMIFS($F$5:$F$1004,$C$5:$C$1004,C988,$E$5:$E$1004,"Entrada",$A$5:$A$1004,"&lt;="&amp;A988)-SUMIFS($F$5:$F$1004,$C$5:$C$1004,C988,$E$5:$E$1004,"Saída",$A$5:$A$1004,"&lt;="&amp;A988),""))</f>
        <v/>
      </c>
      <c r="J988" s="68">
        <f>IF(A988="","",A988+ROW()/100000)</f>
        <v/>
      </c>
    </row>
    <row r="989">
      <c r="A989" s="65" t="n"/>
      <c r="B989" s="58" t="n"/>
      <c r="C989" s="58" t="n"/>
      <c r="D989" s="66">
        <f>IF(C989="","",IFERROR(INDEX('Produtos'!$B$5:$B$204,MATCH(C989,'Produtos'!$A$5:$A$204,0)),"Código não cadastrado"))</f>
        <v/>
      </c>
      <c r="E989" s="58" t="n"/>
      <c r="F989" s="61" t="n"/>
      <c r="G989" s="59" t="n"/>
      <c r="H989" s="59" t="n"/>
      <c r="I989" s="67">
        <f>IF(OR(A989="",C989=""),"",IFERROR(INDEX('Produtos'!$F$5:$F$204,MATCH(C989,'Produtos'!$A$5:$A$204,0))+SUMIFS($F$5:$F$1004,$C$5:$C$1004,C989,$E$5:$E$1004,"Entrada",$A$5:$A$1004,"&lt;="&amp;A989)-SUMIFS($F$5:$F$1004,$C$5:$C$1004,C989,$E$5:$E$1004,"Saída",$A$5:$A$1004,"&lt;="&amp;A989),""))</f>
        <v/>
      </c>
      <c r="J989" s="68">
        <f>IF(A989="","",A989+ROW()/100000)</f>
        <v/>
      </c>
    </row>
    <row r="990">
      <c r="A990" s="65" t="n"/>
      <c r="B990" s="58" t="n"/>
      <c r="C990" s="58" t="n"/>
      <c r="D990" s="66">
        <f>IF(C990="","",IFERROR(INDEX('Produtos'!$B$5:$B$204,MATCH(C990,'Produtos'!$A$5:$A$204,0)),"Código não cadastrado"))</f>
        <v/>
      </c>
      <c r="E990" s="58" t="n"/>
      <c r="F990" s="61" t="n"/>
      <c r="G990" s="59" t="n"/>
      <c r="H990" s="59" t="n"/>
      <c r="I990" s="67">
        <f>IF(OR(A990="",C990=""),"",IFERROR(INDEX('Produtos'!$F$5:$F$204,MATCH(C990,'Produtos'!$A$5:$A$204,0))+SUMIFS($F$5:$F$1004,$C$5:$C$1004,C990,$E$5:$E$1004,"Entrada",$A$5:$A$1004,"&lt;="&amp;A990)-SUMIFS($F$5:$F$1004,$C$5:$C$1004,C990,$E$5:$E$1004,"Saída",$A$5:$A$1004,"&lt;="&amp;A990),""))</f>
        <v/>
      </c>
      <c r="J990" s="68">
        <f>IF(A990="","",A990+ROW()/100000)</f>
        <v/>
      </c>
    </row>
    <row r="991">
      <c r="A991" s="65" t="n"/>
      <c r="B991" s="58" t="n"/>
      <c r="C991" s="58" t="n"/>
      <c r="D991" s="66">
        <f>IF(C991="","",IFERROR(INDEX('Produtos'!$B$5:$B$204,MATCH(C991,'Produtos'!$A$5:$A$204,0)),"Código não cadastrado"))</f>
        <v/>
      </c>
      <c r="E991" s="58" t="n"/>
      <c r="F991" s="61" t="n"/>
      <c r="G991" s="59" t="n"/>
      <c r="H991" s="59" t="n"/>
      <c r="I991" s="67">
        <f>IF(OR(A991="",C991=""),"",IFERROR(INDEX('Produtos'!$F$5:$F$204,MATCH(C991,'Produtos'!$A$5:$A$204,0))+SUMIFS($F$5:$F$1004,$C$5:$C$1004,C991,$E$5:$E$1004,"Entrada",$A$5:$A$1004,"&lt;="&amp;A991)-SUMIFS($F$5:$F$1004,$C$5:$C$1004,C991,$E$5:$E$1004,"Saída",$A$5:$A$1004,"&lt;="&amp;A991),""))</f>
        <v/>
      </c>
      <c r="J991" s="68">
        <f>IF(A991="","",A991+ROW()/100000)</f>
        <v/>
      </c>
    </row>
    <row r="992">
      <c r="A992" s="65" t="n"/>
      <c r="B992" s="58" t="n"/>
      <c r="C992" s="58" t="n"/>
      <c r="D992" s="66">
        <f>IF(C992="","",IFERROR(INDEX('Produtos'!$B$5:$B$204,MATCH(C992,'Produtos'!$A$5:$A$204,0)),"Código não cadastrado"))</f>
        <v/>
      </c>
      <c r="E992" s="58" t="n"/>
      <c r="F992" s="61" t="n"/>
      <c r="G992" s="59" t="n"/>
      <c r="H992" s="59" t="n"/>
      <c r="I992" s="67">
        <f>IF(OR(A992="",C992=""),"",IFERROR(INDEX('Produtos'!$F$5:$F$204,MATCH(C992,'Produtos'!$A$5:$A$204,0))+SUMIFS($F$5:$F$1004,$C$5:$C$1004,C992,$E$5:$E$1004,"Entrada",$A$5:$A$1004,"&lt;="&amp;A992)-SUMIFS($F$5:$F$1004,$C$5:$C$1004,C992,$E$5:$E$1004,"Saída",$A$5:$A$1004,"&lt;="&amp;A992),""))</f>
        <v/>
      </c>
      <c r="J992" s="68">
        <f>IF(A992="","",A992+ROW()/100000)</f>
        <v/>
      </c>
    </row>
    <row r="993">
      <c r="A993" s="65" t="n"/>
      <c r="B993" s="58" t="n"/>
      <c r="C993" s="58" t="n"/>
      <c r="D993" s="66">
        <f>IF(C993="","",IFERROR(INDEX('Produtos'!$B$5:$B$204,MATCH(C993,'Produtos'!$A$5:$A$204,0)),"Código não cadastrado"))</f>
        <v/>
      </c>
      <c r="E993" s="58" t="n"/>
      <c r="F993" s="61" t="n"/>
      <c r="G993" s="59" t="n"/>
      <c r="H993" s="59" t="n"/>
      <c r="I993" s="67">
        <f>IF(OR(A993="",C993=""),"",IFERROR(INDEX('Produtos'!$F$5:$F$204,MATCH(C993,'Produtos'!$A$5:$A$204,0))+SUMIFS($F$5:$F$1004,$C$5:$C$1004,C993,$E$5:$E$1004,"Entrada",$A$5:$A$1004,"&lt;="&amp;A993)-SUMIFS($F$5:$F$1004,$C$5:$C$1004,C993,$E$5:$E$1004,"Saída",$A$5:$A$1004,"&lt;="&amp;A993),""))</f>
        <v/>
      </c>
      <c r="J993" s="68">
        <f>IF(A993="","",A993+ROW()/100000)</f>
        <v/>
      </c>
    </row>
    <row r="994">
      <c r="A994" s="65" t="n"/>
      <c r="B994" s="58" t="n"/>
      <c r="C994" s="58" t="n"/>
      <c r="D994" s="66">
        <f>IF(C994="","",IFERROR(INDEX('Produtos'!$B$5:$B$204,MATCH(C994,'Produtos'!$A$5:$A$204,0)),"Código não cadastrado"))</f>
        <v/>
      </c>
      <c r="E994" s="58" t="n"/>
      <c r="F994" s="61" t="n"/>
      <c r="G994" s="59" t="n"/>
      <c r="H994" s="59" t="n"/>
      <c r="I994" s="67">
        <f>IF(OR(A994="",C994=""),"",IFERROR(INDEX('Produtos'!$F$5:$F$204,MATCH(C994,'Produtos'!$A$5:$A$204,0))+SUMIFS($F$5:$F$1004,$C$5:$C$1004,C994,$E$5:$E$1004,"Entrada",$A$5:$A$1004,"&lt;="&amp;A994)-SUMIFS($F$5:$F$1004,$C$5:$C$1004,C994,$E$5:$E$1004,"Saída",$A$5:$A$1004,"&lt;="&amp;A994),""))</f>
        <v/>
      </c>
      <c r="J994" s="68">
        <f>IF(A994="","",A994+ROW()/100000)</f>
        <v/>
      </c>
    </row>
    <row r="995">
      <c r="A995" s="65" t="n"/>
      <c r="B995" s="58" t="n"/>
      <c r="C995" s="58" t="n"/>
      <c r="D995" s="66">
        <f>IF(C995="","",IFERROR(INDEX('Produtos'!$B$5:$B$204,MATCH(C995,'Produtos'!$A$5:$A$204,0)),"Código não cadastrado"))</f>
        <v/>
      </c>
      <c r="E995" s="58" t="n"/>
      <c r="F995" s="61" t="n"/>
      <c r="G995" s="59" t="n"/>
      <c r="H995" s="59" t="n"/>
      <c r="I995" s="67">
        <f>IF(OR(A995="",C995=""),"",IFERROR(INDEX('Produtos'!$F$5:$F$204,MATCH(C995,'Produtos'!$A$5:$A$204,0))+SUMIFS($F$5:$F$1004,$C$5:$C$1004,C995,$E$5:$E$1004,"Entrada",$A$5:$A$1004,"&lt;="&amp;A995)-SUMIFS($F$5:$F$1004,$C$5:$C$1004,C995,$E$5:$E$1004,"Saída",$A$5:$A$1004,"&lt;="&amp;A995),""))</f>
        <v/>
      </c>
      <c r="J995" s="68">
        <f>IF(A995="","",A995+ROW()/100000)</f>
        <v/>
      </c>
    </row>
    <row r="996">
      <c r="A996" s="65" t="n"/>
      <c r="B996" s="58" t="n"/>
      <c r="C996" s="58" t="n"/>
      <c r="D996" s="66">
        <f>IF(C996="","",IFERROR(INDEX('Produtos'!$B$5:$B$204,MATCH(C996,'Produtos'!$A$5:$A$204,0)),"Código não cadastrado"))</f>
        <v/>
      </c>
      <c r="E996" s="58" t="n"/>
      <c r="F996" s="61" t="n"/>
      <c r="G996" s="59" t="n"/>
      <c r="H996" s="59" t="n"/>
      <c r="I996" s="67">
        <f>IF(OR(A996="",C996=""),"",IFERROR(INDEX('Produtos'!$F$5:$F$204,MATCH(C996,'Produtos'!$A$5:$A$204,0))+SUMIFS($F$5:$F$1004,$C$5:$C$1004,C996,$E$5:$E$1004,"Entrada",$A$5:$A$1004,"&lt;="&amp;A996)-SUMIFS($F$5:$F$1004,$C$5:$C$1004,C996,$E$5:$E$1004,"Saída",$A$5:$A$1004,"&lt;="&amp;A996),""))</f>
        <v/>
      </c>
      <c r="J996" s="68">
        <f>IF(A996="","",A996+ROW()/100000)</f>
        <v/>
      </c>
    </row>
    <row r="997">
      <c r="A997" s="65" t="n"/>
      <c r="B997" s="58" t="n"/>
      <c r="C997" s="58" t="n"/>
      <c r="D997" s="66">
        <f>IF(C997="","",IFERROR(INDEX('Produtos'!$B$5:$B$204,MATCH(C997,'Produtos'!$A$5:$A$204,0)),"Código não cadastrado"))</f>
        <v/>
      </c>
      <c r="E997" s="58" t="n"/>
      <c r="F997" s="61" t="n"/>
      <c r="G997" s="59" t="n"/>
      <c r="H997" s="59" t="n"/>
      <c r="I997" s="67">
        <f>IF(OR(A997="",C997=""),"",IFERROR(INDEX('Produtos'!$F$5:$F$204,MATCH(C997,'Produtos'!$A$5:$A$204,0))+SUMIFS($F$5:$F$1004,$C$5:$C$1004,C997,$E$5:$E$1004,"Entrada",$A$5:$A$1004,"&lt;="&amp;A997)-SUMIFS($F$5:$F$1004,$C$5:$C$1004,C997,$E$5:$E$1004,"Saída",$A$5:$A$1004,"&lt;="&amp;A997),""))</f>
        <v/>
      </c>
      <c r="J997" s="68">
        <f>IF(A997="","",A997+ROW()/100000)</f>
        <v/>
      </c>
    </row>
    <row r="998">
      <c r="A998" s="65" t="n"/>
      <c r="B998" s="58" t="n"/>
      <c r="C998" s="58" t="n"/>
      <c r="D998" s="66">
        <f>IF(C998="","",IFERROR(INDEX('Produtos'!$B$5:$B$204,MATCH(C998,'Produtos'!$A$5:$A$204,0)),"Código não cadastrado"))</f>
        <v/>
      </c>
      <c r="E998" s="58" t="n"/>
      <c r="F998" s="61" t="n"/>
      <c r="G998" s="59" t="n"/>
      <c r="H998" s="59" t="n"/>
      <c r="I998" s="67">
        <f>IF(OR(A998="",C998=""),"",IFERROR(INDEX('Produtos'!$F$5:$F$204,MATCH(C998,'Produtos'!$A$5:$A$204,0))+SUMIFS($F$5:$F$1004,$C$5:$C$1004,C998,$E$5:$E$1004,"Entrada",$A$5:$A$1004,"&lt;="&amp;A998)-SUMIFS($F$5:$F$1004,$C$5:$C$1004,C998,$E$5:$E$1004,"Saída",$A$5:$A$1004,"&lt;="&amp;A998),""))</f>
        <v/>
      </c>
      <c r="J998" s="68">
        <f>IF(A998="","",A998+ROW()/100000)</f>
        <v/>
      </c>
    </row>
    <row r="999">
      <c r="A999" s="65" t="n"/>
      <c r="B999" s="58" t="n"/>
      <c r="C999" s="58" t="n"/>
      <c r="D999" s="66">
        <f>IF(C999="","",IFERROR(INDEX('Produtos'!$B$5:$B$204,MATCH(C999,'Produtos'!$A$5:$A$204,0)),"Código não cadastrado"))</f>
        <v/>
      </c>
      <c r="E999" s="58" t="n"/>
      <c r="F999" s="61" t="n"/>
      <c r="G999" s="59" t="n"/>
      <c r="H999" s="59" t="n"/>
      <c r="I999" s="67">
        <f>IF(OR(A999="",C999=""),"",IFERROR(INDEX('Produtos'!$F$5:$F$204,MATCH(C999,'Produtos'!$A$5:$A$204,0))+SUMIFS($F$5:$F$1004,$C$5:$C$1004,C999,$E$5:$E$1004,"Entrada",$A$5:$A$1004,"&lt;="&amp;A999)-SUMIFS($F$5:$F$1004,$C$5:$C$1004,C999,$E$5:$E$1004,"Saída",$A$5:$A$1004,"&lt;="&amp;A999),""))</f>
        <v/>
      </c>
      <c r="J999" s="68">
        <f>IF(A999="","",A999+ROW()/100000)</f>
        <v/>
      </c>
    </row>
    <row r="1000">
      <c r="A1000" s="65" t="n"/>
      <c r="B1000" s="58" t="n"/>
      <c r="C1000" s="58" t="n"/>
      <c r="D1000" s="66">
        <f>IF(C1000="","",IFERROR(INDEX('Produtos'!$B$5:$B$204,MATCH(C1000,'Produtos'!$A$5:$A$204,0)),"Código não cadastrado"))</f>
        <v/>
      </c>
      <c r="E1000" s="58" t="n"/>
      <c r="F1000" s="61" t="n"/>
      <c r="G1000" s="59" t="n"/>
      <c r="H1000" s="59" t="n"/>
      <c r="I1000" s="67">
        <f>IF(OR(A1000="",C1000=""),"",IFERROR(INDEX('Produtos'!$F$5:$F$204,MATCH(C1000,'Produtos'!$A$5:$A$204,0))+SUMIFS($F$5:$F$1004,$C$5:$C$1004,C1000,$E$5:$E$1004,"Entrada",$A$5:$A$1004,"&lt;="&amp;A1000)-SUMIFS($F$5:$F$1004,$C$5:$C$1004,C1000,$E$5:$E$1004,"Saída",$A$5:$A$1004,"&lt;="&amp;A1000),""))</f>
        <v/>
      </c>
      <c r="J1000" s="68">
        <f>IF(A1000="","",A1000+ROW()/100000)</f>
        <v/>
      </c>
    </row>
    <row r="1001">
      <c r="A1001" s="65" t="n"/>
      <c r="B1001" s="58" t="n"/>
      <c r="C1001" s="58" t="n"/>
      <c r="D1001" s="66">
        <f>IF(C1001="","",IFERROR(INDEX('Produtos'!$B$5:$B$204,MATCH(C1001,'Produtos'!$A$5:$A$204,0)),"Código não cadastrado"))</f>
        <v/>
      </c>
      <c r="E1001" s="58" t="n"/>
      <c r="F1001" s="61" t="n"/>
      <c r="G1001" s="59" t="n"/>
      <c r="H1001" s="59" t="n"/>
      <c r="I1001" s="67">
        <f>IF(OR(A1001="",C1001=""),"",IFERROR(INDEX('Produtos'!$F$5:$F$204,MATCH(C1001,'Produtos'!$A$5:$A$204,0))+SUMIFS($F$5:$F$1004,$C$5:$C$1004,C1001,$E$5:$E$1004,"Entrada",$A$5:$A$1004,"&lt;="&amp;A1001)-SUMIFS($F$5:$F$1004,$C$5:$C$1004,C1001,$E$5:$E$1004,"Saída",$A$5:$A$1004,"&lt;="&amp;A1001),""))</f>
        <v/>
      </c>
      <c r="J1001" s="68">
        <f>IF(A1001="","",A1001+ROW()/100000)</f>
        <v/>
      </c>
    </row>
    <row r="1002">
      <c r="A1002" s="65" t="n"/>
      <c r="B1002" s="58" t="n"/>
      <c r="C1002" s="58" t="n"/>
      <c r="D1002" s="66">
        <f>IF(C1002="","",IFERROR(INDEX('Produtos'!$B$5:$B$204,MATCH(C1002,'Produtos'!$A$5:$A$204,0)),"Código não cadastrado"))</f>
        <v/>
      </c>
      <c r="E1002" s="58" t="n"/>
      <c r="F1002" s="61" t="n"/>
      <c r="G1002" s="59" t="n"/>
      <c r="H1002" s="59" t="n"/>
      <c r="I1002" s="67">
        <f>IF(OR(A1002="",C1002=""),"",IFERROR(INDEX('Produtos'!$F$5:$F$204,MATCH(C1002,'Produtos'!$A$5:$A$204,0))+SUMIFS($F$5:$F$1004,$C$5:$C$1004,C1002,$E$5:$E$1004,"Entrada",$A$5:$A$1004,"&lt;="&amp;A1002)-SUMIFS($F$5:$F$1004,$C$5:$C$1004,C1002,$E$5:$E$1004,"Saída",$A$5:$A$1004,"&lt;="&amp;A1002),""))</f>
        <v/>
      </c>
      <c r="J1002" s="68">
        <f>IF(A1002="","",A1002+ROW()/100000)</f>
        <v/>
      </c>
    </row>
    <row r="1003">
      <c r="A1003" s="65" t="n"/>
      <c r="B1003" s="58" t="n"/>
      <c r="C1003" s="58" t="n"/>
      <c r="D1003" s="66">
        <f>IF(C1003="","",IFERROR(INDEX('Produtos'!$B$5:$B$204,MATCH(C1003,'Produtos'!$A$5:$A$204,0)),"Código não cadastrado"))</f>
        <v/>
      </c>
      <c r="E1003" s="58" t="n"/>
      <c r="F1003" s="61" t="n"/>
      <c r="G1003" s="59" t="n"/>
      <c r="H1003" s="59" t="n"/>
      <c r="I1003" s="67">
        <f>IF(OR(A1003="",C1003=""),"",IFERROR(INDEX('Produtos'!$F$5:$F$204,MATCH(C1003,'Produtos'!$A$5:$A$204,0))+SUMIFS($F$5:$F$1004,$C$5:$C$1004,C1003,$E$5:$E$1004,"Entrada",$A$5:$A$1004,"&lt;="&amp;A1003)-SUMIFS($F$5:$F$1004,$C$5:$C$1004,C1003,$E$5:$E$1004,"Saída",$A$5:$A$1004,"&lt;="&amp;A1003),""))</f>
        <v/>
      </c>
      <c r="J1003" s="68">
        <f>IF(A1003="","",A1003+ROW()/100000)</f>
        <v/>
      </c>
    </row>
    <row r="1004">
      <c r="A1004" s="65" t="n"/>
      <c r="B1004" s="58" t="n"/>
      <c r="C1004" s="58" t="n"/>
      <c r="D1004" s="66">
        <f>IF(C1004="","",IFERROR(INDEX('Produtos'!$B$5:$B$204,MATCH(C1004,'Produtos'!$A$5:$A$204,0)),"Código não cadastrado"))</f>
        <v/>
      </c>
      <c r="E1004" s="58" t="n"/>
      <c r="F1004" s="61" t="n"/>
      <c r="G1004" s="59" t="n"/>
      <c r="H1004" s="59" t="n"/>
      <c r="I1004" s="67">
        <f>IF(OR(A1004="",C1004=""),"",IFERROR(INDEX('Produtos'!$F$5:$F$204,MATCH(C1004,'Produtos'!$A$5:$A$204,0))+SUMIFS($F$5:$F$1004,$C$5:$C$1004,C1004,$E$5:$E$1004,"Entrada",$A$5:$A$1004,"&lt;="&amp;A1004)-SUMIFS($F$5:$F$1004,$C$5:$C$1004,C1004,$E$5:$E$1004,"Saída",$A$5:$A$1004,"&lt;="&amp;A1004),""))</f>
        <v/>
      </c>
      <c r="J1004" s="68">
        <f>IF(A1004="","",A1004+ROW()/100000)</f>
        <v/>
      </c>
    </row>
  </sheetData>
  <autoFilter ref="A4:J1004"/>
  <conditionalFormatting sqref="I5:I1004">
    <cfRule type="expression" priority="1" dxfId="4">
      <formula>AND(ISNUMBER(I5),I5&lt;0)</formula>
    </cfRule>
  </conditionalFormatting>
  <conditionalFormatting sqref="B5:B1004">
    <cfRule type="expression" priority="2" dxfId="4">
      <formula>AND(B5&lt;&gt;"",COUNTIF($B$5:$B$1004,B5)&gt;1)</formula>
    </cfRule>
  </conditionalFormatting>
  <conditionalFormatting sqref="D5:D1004">
    <cfRule type="cellIs" priority="3" operator="equal" dxfId="5">
      <formula>"Código não cadastrado"</formula>
    </cfRule>
  </conditionalFormatting>
  <conditionalFormatting sqref="E5:E1004">
    <cfRule type="cellIs" priority="4" operator="equal" dxfId="6">
      <formula>"Entrada"</formula>
    </cfRule>
    <cfRule type="cellIs" priority="5" operator="equal" dxfId="7">
      <formula>"Saída"</formula>
    </cfRule>
  </conditionalFormatting>
  <dataValidations count="6">
    <dataValidation sqref="A5:A1004" showDropDown="0" showInputMessage="1" showErrorMessage="1" allowBlank="1" errorTitle="Data inválida" error="Informe uma data válida (dd/mm/aaaa)." type="date" operator="between">
      <formula1>DATE(2020,1,1)</formula1>
      <formula2>DATE(2035,12,31)</formula2>
    </dataValidation>
    <dataValidation sqref="B5:B1004" showDropDown="0" showInputMessage="1" showErrorMessage="1" allowBlank="1" errorTitle="ID repetido" error="Este ID já existe. Use o 'Próximo ID' indicado no topo da aba." type="custom">
      <formula1>COUNTIF($B$5:$B$1004,B5)=1</formula1>
    </dataValidation>
    <dataValidation sqref="C5:C1004" showDropDown="0" showInputMessage="1" showErrorMessage="1" allowBlank="1" errorTitle="Código inválido" error="Selecione um código cadastrado na aba Produtos." type="list">
      <formula1>=lst_Codigos</formula1>
    </dataValidation>
    <dataValidation sqref="E5:E1004" showDropDown="0" showInputMessage="1" showErrorMessage="1" allowBlank="1" errorTitle="Tipo inválido" error="Escolha Entrada ou Saída." type="list">
      <formula1>=lst_Tipos</formula1>
    </dataValidation>
    <dataValidation sqref="F5:F1004" showDropDown="0" showInputMessage="1" showErrorMessage="1" allowBlank="1" errorTitle="Quantidade inválida" error="A quantidade deve ser um número inteiro maior que zero." type="whole" operator="greaterThan">
      <formula1>0</formula1>
    </dataValidation>
    <dataValidation sqref="G5:G1004" showDropDown="0" showInputMessage="1" showErrorMessage="1" allowBlank="1" errorTitle="Responsável" error="Escolha um responsável da lista." type="list">
      <formula1>=lst_Responsaveis</formula1>
    </dataValidation>
  </dataValidation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tabColor rgb="0012334D"/>
    <outlinePr summaryBelow="1" summaryRight="1"/>
    <pageSetUpPr fitToPage="1"/>
  </sheetPr>
  <dimension ref="A1:O204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34" customWidth="1" min="2" max="2"/>
    <col width="22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4" customWidth="1" min="10" max="10"/>
    <col width="17" customWidth="1" min="11" max="11"/>
    <col width="12" customWidth="1" min="12" max="12"/>
    <col width="15" customWidth="1" min="13" max="13"/>
    <col width="13" customWidth="1" min="14" max="14"/>
    <col width="13" customWidth="1" min="15" max="15"/>
  </cols>
  <sheetData>
    <row r="1" ht="30" customHeight="1">
      <c r="A1" s="52" t="inlineStr">
        <is>
          <t>Almox EO  ·  Posição de Estoque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</row>
    <row r="2" ht="20" customHeight="1">
      <c r="A2" s="53" t="inlineStr">
        <is>
          <t>Aba 100% calculada a partir de Produtos e Movimentações. Não digite aqui. Use os filtros do cabeçalho para consultar.</t>
        </is>
      </c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</row>
    <row r="3" ht="20" customHeight="1">
      <c r="A3" s="54" t="inlineStr">
        <is>
          <t>Legenda:</t>
        </is>
      </c>
      <c r="B3" s="55" t="inlineStr">
        <is>
          <t>Branco = digitar dados</t>
        </is>
      </c>
      <c r="C3" s="56" t="inlineStr">
        <is>
          <t>Cinza-azulado = fórmula (não editar)</t>
        </is>
      </c>
    </row>
    <row r="4" ht="30" customHeight="1">
      <c r="A4" s="57" t="inlineStr">
        <is>
          <t>Código</t>
        </is>
      </c>
      <c r="B4" s="57" t="inlineStr">
        <is>
          <t>Produto</t>
        </is>
      </c>
      <c r="C4" s="57" t="inlineStr">
        <is>
          <t>Categoria</t>
        </is>
      </c>
      <c r="D4" s="57" t="inlineStr">
        <is>
          <t>Estoque inicial</t>
        </is>
      </c>
      <c r="E4" s="57" t="inlineStr">
        <is>
          <t>Total de entradas</t>
        </is>
      </c>
      <c r="F4" s="57" t="inlineStr">
        <is>
          <t>Total de saídas</t>
        </is>
      </c>
      <c r="G4" s="57" t="inlineStr">
        <is>
          <t>Saldo atual</t>
        </is>
      </c>
      <c r="H4" s="57" t="inlineStr">
        <is>
          <t>Estoque mínimo</t>
        </is>
      </c>
      <c r="I4" s="57" t="inlineStr">
        <is>
          <t>Estoque máximo</t>
        </is>
      </c>
      <c r="J4" s="57" t="inlineStr">
        <is>
          <t>Custo unitário (R$)</t>
        </is>
      </c>
      <c r="K4" s="57" t="inlineStr">
        <is>
          <t>Valor total em estoque (R$)</t>
        </is>
      </c>
      <c r="L4" s="57" t="inlineStr">
        <is>
          <t>Status</t>
        </is>
      </c>
      <c r="M4" s="57" t="inlineStr">
        <is>
          <t>Quantidade sugerida para reposição</t>
        </is>
      </c>
      <c r="N4" s="64" t="inlineStr">
        <is>
          <t>Cobertura (saldo ÷ mínimo)</t>
        </is>
      </c>
      <c r="O4" s="64" t="inlineStr">
        <is>
          <t>Chave de alerta (auxiliar)</t>
        </is>
      </c>
    </row>
    <row r="5">
      <c r="A5" s="69">
        <f>IF('Produtos'!A5="","",'Produtos'!A5)</f>
        <v/>
      </c>
      <c r="B5" s="66">
        <f>IF(A5="","",'Produtos'!B5)</f>
        <v/>
      </c>
      <c r="C5" s="66">
        <f>IF(A5="","",'Produtos'!C5)</f>
        <v/>
      </c>
      <c r="D5" s="67">
        <f>IF(A5="","",'Produtos'!F5)</f>
        <v/>
      </c>
      <c r="E5" s="67">
        <f>IF(A5="","",SUMIFS('Movimentações'!$F$5:$F$1004,'Movimentações'!$C$5:$C$1004,A5,'Movimentações'!$E$5:$E$1004,"Entrada"))</f>
        <v/>
      </c>
      <c r="F5" s="67">
        <f>IF(A5="","",SUMIFS('Movimentações'!$F$5:$F$1004,'Movimentações'!$C$5:$C$1004,A5,'Movimentações'!$E$5:$E$1004,"Saída"))</f>
        <v/>
      </c>
      <c r="G5" s="67">
        <f>IF(A5="","",D5+E5-F5)</f>
        <v/>
      </c>
      <c r="H5" s="67">
        <f>IF(A5="","",'Produtos'!G5)</f>
        <v/>
      </c>
      <c r="I5" s="67">
        <f>IF(A5="","",'Produtos'!H5)</f>
        <v/>
      </c>
      <c r="J5" s="70">
        <f>IF(A5="","",'Produtos'!E5)</f>
        <v/>
      </c>
      <c r="K5" s="70">
        <f>IF(A5="","",G5*J5)</f>
        <v/>
      </c>
      <c r="L5" s="69">
        <f>IF(A5="","",IF(G5&lt;=0,"CRÍTICO",IF(G5&lt;=H5,"REPOR","OK")))</f>
        <v/>
      </c>
      <c r="M5" s="67">
        <f>IF(A5="","",IF(L5="OK",0,MAX(0,I5-G5)))</f>
        <v/>
      </c>
      <c r="N5" s="71">
        <f>IF(A5="","",IF(H5&gt;0,G5/H5,99))</f>
        <v/>
      </c>
      <c r="O5" s="68">
        <f>IF(A5="","",IF(L5="OK","",N5+ROW()/100000))</f>
        <v/>
      </c>
    </row>
    <row r="6">
      <c r="A6" s="69">
        <f>IF('Produtos'!A6="","",'Produtos'!A6)</f>
        <v/>
      </c>
      <c r="B6" s="66">
        <f>IF(A6="","",'Produtos'!B6)</f>
        <v/>
      </c>
      <c r="C6" s="66">
        <f>IF(A6="","",'Produtos'!C6)</f>
        <v/>
      </c>
      <c r="D6" s="67">
        <f>IF(A6="","",'Produtos'!F6)</f>
        <v/>
      </c>
      <c r="E6" s="67">
        <f>IF(A6="","",SUMIFS('Movimentações'!$F$5:$F$1004,'Movimentações'!$C$5:$C$1004,A6,'Movimentações'!$E$5:$E$1004,"Entrada"))</f>
        <v/>
      </c>
      <c r="F6" s="67">
        <f>IF(A6="","",SUMIFS('Movimentações'!$F$5:$F$1004,'Movimentações'!$C$5:$C$1004,A6,'Movimentações'!$E$5:$E$1004,"Saída"))</f>
        <v/>
      </c>
      <c r="G6" s="67">
        <f>IF(A6="","",D6+E6-F6)</f>
        <v/>
      </c>
      <c r="H6" s="67">
        <f>IF(A6="","",'Produtos'!G6)</f>
        <v/>
      </c>
      <c r="I6" s="67">
        <f>IF(A6="","",'Produtos'!H6)</f>
        <v/>
      </c>
      <c r="J6" s="70">
        <f>IF(A6="","",'Produtos'!E6)</f>
        <v/>
      </c>
      <c r="K6" s="70">
        <f>IF(A6="","",G6*J6)</f>
        <v/>
      </c>
      <c r="L6" s="69">
        <f>IF(A6="","",IF(G6&lt;=0,"CRÍTICO",IF(G6&lt;=H6,"REPOR","OK")))</f>
        <v/>
      </c>
      <c r="M6" s="67">
        <f>IF(A6="","",IF(L6="OK",0,MAX(0,I6-G6)))</f>
        <v/>
      </c>
      <c r="N6" s="71">
        <f>IF(A6="","",IF(H6&gt;0,G6/H6,99))</f>
        <v/>
      </c>
      <c r="O6" s="68">
        <f>IF(A6="","",IF(L6="OK","",N6+ROW()/100000))</f>
        <v/>
      </c>
    </row>
    <row r="7">
      <c r="A7" s="69">
        <f>IF('Produtos'!A7="","",'Produtos'!A7)</f>
        <v/>
      </c>
      <c r="B7" s="66">
        <f>IF(A7="","",'Produtos'!B7)</f>
        <v/>
      </c>
      <c r="C7" s="66">
        <f>IF(A7="","",'Produtos'!C7)</f>
        <v/>
      </c>
      <c r="D7" s="67">
        <f>IF(A7="","",'Produtos'!F7)</f>
        <v/>
      </c>
      <c r="E7" s="67">
        <f>IF(A7="","",SUMIFS('Movimentações'!$F$5:$F$1004,'Movimentações'!$C$5:$C$1004,A7,'Movimentações'!$E$5:$E$1004,"Entrada"))</f>
        <v/>
      </c>
      <c r="F7" s="67">
        <f>IF(A7="","",SUMIFS('Movimentações'!$F$5:$F$1004,'Movimentações'!$C$5:$C$1004,A7,'Movimentações'!$E$5:$E$1004,"Saída"))</f>
        <v/>
      </c>
      <c r="G7" s="67">
        <f>IF(A7="","",D7+E7-F7)</f>
        <v/>
      </c>
      <c r="H7" s="67">
        <f>IF(A7="","",'Produtos'!G7)</f>
        <v/>
      </c>
      <c r="I7" s="67">
        <f>IF(A7="","",'Produtos'!H7)</f>
        <v/>
      </c>
      <c r="J7" s="70">
        <f>IF(A7="","",'Produtos'!E7)</f>
        <v/>
      </c>
      <c r="K7" s="70">
        <f>IF(A7="","",G7*J7)</f>
        <v/>
      </c>
      <c r="L7" s="69">
        <f>IF(A7="","",IF(G7&lt;=0,"CRÍTICO",IF(G7&lt;=H7,"REPOR","OK")))</f>
        <v/>
      </c>
      <c r="M7" s="67">
        <f>IF(A7="","",IF(L7="OK",0,MAX(0,I7-G7)))</f>
        <v/>
      </c>
      <c r="N7" s="71">
        <f>IF(A7="","",IF(H7&gt;0,G7/H7,99))</f>
        <v/>
      </c>
      <c r="O7" s="68">
        <f>IF(A7="","",IF(L7="OK","",N7+ROW()/100000))</f>
        <v/>
      </c>
    </row>
    <row r="8">
      <c r="A8" s="69">
        <f>IF('Produtos'!A8="","",'Produtos'!A8)</f>
        <v/>
      </c>
      <c r="B8" s="66">
        <f>IF(A8="","",'Produtos'!B8)</f>
        <v/>
      </c>
      <c r="C8" s="66">
        <f>IF(A8="","",'Produtos'!C8)</f>
        <v/>
      </c>
      <c r="D8" s="67">
        <f>IF(A8="","",'Produtos'!F8)</f>
        <v/>
      </c>
      <c r="E8" s="67">
        <f>IF(A8="","",SUMIFS('Movimentações'!$F$5:$F$1004,'Movimentações'!$C$5:$C$1004,A8,'Movimentações'!$E$5:$E$1004,"Entrada"))</f>
        <v/>
      </c>
      <c r="F8" s="67">
        <f>IF(A8="","",SUMIFS('Movimentações'!$F$5:$F$1004,'Movimentações'!$C$5:$C$1004,A8,'Movimentações'!$E$5:$E$1004,"Saída"))</f>
        <v/>
      </c>
      <c r="G8" s="67">
        <f>IF(A8="","",D8+E8-F8)</f>
        <v/>
      </c>
      <c r="H8" s="67">
        <f>IF(A8="","",'Produtos'!G8)</f>
        <v/>
      </c>
      <c r="I8" s="67">
        <f>IF(A8="","",'Produtos'!H8)</f>
        <v/>
      </c>
      <c r="J8" s="70">
        <f>IF(A8="","",'Produtos'!E8)</f>
        <v/>
      </c>
      <c r="K8" s="70">
        <f>IF(A8="","",G8*J8)</f>
        <v/>
      </c>
      <c r="L8" s="69">
        <f>IF(A8="","",IF(G8&lt;=0,"CRÍTICO",IF(G8&lt;=H8,"REPOR","OK")))</f>
        <v/>
      </c>
      <c r="M8" s="67">
        <f>IF(A8="","",IF(L8="OK",0,MAX(0,I8-G8)))</f>
        <v/>
      </c>
      <c r="N8" s="71">
        <f>IF(A8="","",IF(H8&gt;0,G8/H8,99))</f>
        <v/>
      </c>
      <c r="O8" s="68">
        <f>IF(A8="","",IF(L8="OK","",N8+ROW()/100000))</f>
        <v/>
      </c>
    </row>
    <row r="9">
      <c r="A9" s="69">
        <f>IF('Produtos'!A9="","",'Produtos'!A9)</f>
        <v/>
      </c>
      <c r="B9" s="66">
        <f>IF(A9="","",'Produtos'!B9)</f>
        <v/>
      </c>
      <c r="C9" s="66">
        <f>IF(A9="","",'Produtos'!C9)</f>
        <v/>
      </c>
      <c r="D9" s="67">
        <f>IF(A9="","",'Produtos'!F9)</f>
        <v/>
      </c>
      <c r="E9" s="67">
        <f>IF(A9="","",SUMIFS('Movimentações'!$F$5:$F$1004,'Movimentações'!$C$5:$C$1004,A9,'Movimentações'!$E$5:$E$1004,"Entrada"))</f>
        <v/>
      </c>
      <c r="F9" s="67">
        <f>IF(A9="","",SUMIFS('Movimentações'!$F$5:$F$1004,'Movimentações'!$C$5:$C$1004,A9,'Movimentações'!$E$5:$E$1004,"Saída"))</f>
        <v/>
      </c>
      <c r="G9" s="67">
        <f>IF(A9="","",D9+E9-F9)</f>
        <v/>
      </c>
      <c r="H9" s="67">
        <f>IF(A9="","",'Produtos'!G9)</f>
        <v/>
      </c>
      <c r="I9" s="67">
        <f>IF(A9="","",'Produtos'!H9)</f>
        <v/>
      </c>
      <c r="J9" s="70">
        <f>IF(A9="","",'Produtos'!E9)</f>
        <v/>
      </c>
      <c r="K9" s="70">
        <f>IF(A9="","",G9*J9)</f>
        <v/>
      </c>
      <c r="L9" s="69">
        <f>IF(A9="","",IF(G9&lt;=0,"CRÍTICO",IF(G9&lt;=H9,"REPOR","OK")))</f>
        <v/>
      </c>
      <c r="M9" s="67">
        <f>IF(A9="","",IF(L9="OK",0,MAX(0,I9-G9)))</f>
        <v/>
      </c>
      <c r="N9" s="71">
        <f>IF(A9="","",IF(H9&gt;0,G9/H9,99))</f>
        <v/>
      </c>
      <c r="O9" s="68">
        <f>IF(A9="","",IF(L9="OK","",N9+ROW()/100000))</f>
        <v/>
      </c>
    </row>
    <row r="10">
      <c r="A10" s="69">
        <f>IF('Produtos'!A10="","",'Produtos'!A10)</f>
        <v/>
      </c>
      <c r="B10" s="66">
        <f>IF(A10="","",'Produtos'!B10)</f>
        <v/>
      </c>
      <c r="C10" s="66">
        <f>IF(A10="","",'Produtos'!C10)</f>
        <v/>
      </c>
      <c r="D10" s="67">
        <f>IF(A10="","",'Produtos'!F10)</f>
        <v/>
      </c>
      <c r="E10" s="67">
        <f>IF(A10="","",SUMIFS('Movimentações'!$F$5:$F$1004,'Movimentações'!$C$5:$C$1004,A10,'Movimentações'!$E$5:$E$1004,"Entrada"))</f>
        <v/>
      </c>
      <c r="F10" s="67">
        <f>IF(A10="","",SUMIFS('Movimentações'!$F$5:$F$1004,'Movimentações'!$C$5:$C$1004,A10,'Movimentações'!$E$5:$E$1004,"Saída"))</f>
        <v/>
      </c>
      <c r="G10" s="67">
        <f>IF(A10="","",D10+E10-F10)</f>
        <v/>
      </c>
      <c r="H10" s="67">
        <f>IF(A10="","",'Produtos'!G10)</f>
        <v/>
      </c>
      <c r="I10" s="67">
        <f>IF(A10="","",'Produtos'!H10)</f>
        <v/>
      </c>
      <c r="J10" s="70">
        <f>IF(A10="","",'Produtos'!E10)</f>
        <v/>
      </c>
      <c r="K10" s="70">
        <f>IF(A10="","",G10*J10)</f>
        <v/>
      </c>
      <c r="L10" s="69">
        <f>IF(A10="","",IF(G10&lt;=0,"CRÍTICO",IF(G10&lt;=H10,"REPOR","OK")))</f>
        <v/>
      </c>
      <c r="M10" s="67">
        <f>IF(A10="","",IF(L10="OK",0,MAX(0,I10-G10)))</f>
        <v/>
      </c>
      <c r="N10" s="71">
        <f>IF(A10="","",IF(H10&gt;0,G10/H10,99))</f>
        <v/>
      </c>
      <c r="O10" s="68">
        <f>IF(A10="","",IF(L10="OK","",N10+ROW()/100000))</f>
        <v/>
      </c>
    </row>
    <row r="11">
      <c r="A11" s="69">
        <f>IF('Produtos'!A11="","",'Produtos'!A11)</f>
        <v/>
      </c>
      <c r="B11" s="66">
        <f>IF(A11="","",'Produtos'!B11)</f>
        <v/>
      </c>
      <c r="C11" s="66">
        <f>IF(A11="","",'Produtos'!C11)</f>
        <v/>
      </c>
      <c r="D11" s="67">
        <f>IF(A11="","",'Produtos'!F11)</f>
        <v/>
      </c>
      <c r="E11" s="67">
        <f>IF(A11="","",SUMIFS('Movimentações'!$F$5:$F$1004,'Movimentações'!$C$5:$C$1004,A11,'Movimentações'!$E$5:$E$1004,"Entrada"))</f>
        <v/>
      </c>
      <c r="F11" s="67">
        <f>IF(A11="","",SUMIFS('Movimentações'!$F$5:$F$1004,'Movimentações'!$C$5:$C$1004,A11,'Movimentações'!$E$5:$E$1004,"Saída"))</f>
        <v/>
      </c>
      <c r="G11" s="67">
        <f>IF(A11="","",D11+E11-F11)</f>
        <v/>
      </c>
      <c r="H11" s="67">
        <f>IF(A11="","",'Produtos'!G11)</f>
        <v/>
      </c>
      <c r="I11" s="67">
        <f>IF(A11="","",'Produtos'!H11)</f>
        <v/>
      </c>
      <c r="J11" s="70">
        <f>IF(A11="","",'Produtos'!E11)</f>
        <v/>
      </c>
      <c r="K11" s="70">
        <f>IF(A11="","",G11*J11)</f>
        <v/>
      </c>
      <c r="L11" s="69">
        <f>IF(A11="","",IF(G11&lt;=0,"CRÍTICO",IF(G11&lt;=H11,"REPOR","OK")))</f>
        <v/>
      </c>
      <c r="M11" s="67">
        <f>IF(A11="","",IF(L11="OK",0,MAX(0,I11-G11)))</f>
        <v/>
      </c>
      <c r="N11" s="71">
        <f>IF(A11="","",IF(H11&gt;0,G11/H11,99))</f>
        <v/>
      </c>
      <c r="O11" s="68">
        <f>IF(A11="","",IF(L11="OK","",N11+ROW()/100000))</f>
        <v/>
      </c>
    </row>
    <row r="12">
      <c r="A12" s="69">
        <f>IF('Produtos'!A12="","",'Produtos'!A12)</f>
        <v/>
      </c>
      <c r="B12" s="66">
        <f>IF(A12="","",'Produtos'!B12)</f>
        <v/>
      </c>
      <c r="C12" s="66">
        <f>IF(A12="","",'Produtos'!C12)</f>
        <v/>
      </c>
      <c r="D12" s="67">
        <f>IF(A12="","",'Produtos'!F12)</f>
        <v/>
      </c>
      <c r="E12" s="67">
        <f>IF(A12="","",SUMIFS('Movimentações'!$F$5:$F$1004,'Movimentações'!$C$5:$C$1004,A12,'Movimentações'!$E$5:$E$1004,"Entrada"))</f>
        <v/>
      </c>
      <c r="F12" s="67">
        <f>IF(A12="","",SUMIFS('Movimentações'!$F$5:$F$1004,'Movimentações'!$C$5:$C$1004,A12,'Movimentações'!$E$5:$E$1004,"Saída"))</f>
        <v/>
      </c>
      <c r="G12" s="67">
        <f>IF(A12="","",D12+E12-F12)</f>
        <v/>
      </c>
      <c r="H12" s="67">
        <f>IF(A12="","",'Produtos'!G12)</f>
        <v/>
      </c>
      <c r="I12" s="67">
        <f>IF(A12="","",'Produtos'!H12)</f>
        <v/>
      </c>
      <c r="J12" s="70">
        <f>IF(A12="","",'Produtos'!E12)</f>
        <v/>
      </c>
      <c r="K12" s="70">
        <f>IF(A12="","",G12*J12)</f>
        <v/>
      </c>
      <c r="L12" s="69">
        <f>IF(A12="","",IF(G12&lt;=0,"CRÍTICO",IF(G12&lt;=H12,"REPOR","OK")))</f>
        <v/>
      </c>
      <c r="M12" s="67">
        <f>IF(A12="","",IF(L12="OK",0,MAX(0,I12-G12)))</f>
        <v/>
      </c>
      <c r="N12" s="71">
        <f>IF(A12="","",IF(H12&gt;0,G12/H12,99))</f>
        <v/>
      </c>
      <c r="O12" s="68">
        <f>IF(A12="","",IF(L12="OK","",N12+ROW()/100000))</f>
        <v/>
      </c>
    </row>
    <row r="13">
      <c r="A13" s="69">
        <f>IF('Produtos'!A13="","",'Produtos'!A13)</f>
        <v/>
      </c>
      <c r="B13" s="66">
        <f>IF(A13="","",'Produtos'!B13)</f>
        <v/>
      </c>
      <c r="C13" s="66">
        <f>IF(A13="","",'Produtos'!C13)</f>
        <v/>
      </c>
      <c r="D13" s="67">
        <f>IF(A13="","",'Produtos'!F13)</f>
        <v/>
      </c>
      <c r="E13" s="67">
        <f>IF(A13="","",SUMIFS('Movimentações'!$F$5:$F$1004,'Movimentações'!$C$5:$C$1004,A13,'Movimentações'!$E$5:$E$1004,"Entrada"))</f>
        <v/>
      </c>
      <c r="F13" s="67">
        <f>IF(A13="","",SUMIFS('Movimentações'!$F$5:$F$1004,'Movimentações'!$C$5:$C$1004,A13,'Movimentações'!$E$5:$E$1004,"Saída"))</f>
        <v/>
      </c>
      <c r="G13" s="67">
        <f>IF(A13="","",D13+E13-F13)</f>
        <v/>
      </c>
      <c r="H13" s="67">
        <f>IF(A13="","",'Produtos'!G13)</f>
        <v/>
      </c>
      <c r="I13" s="67">
        <f>IF(A13="","",'Produtos'!H13)</f>
        <v/>
      </c>
      <c r="J13" s="70">
        <f>IF(A13="","",'Produtos'!E13)</f>
        <v/>
      </c>
      <c r="K13" s="70">
        <f>IF(A13="","",G13*J13)</f>
        <v/>
      </c>
      <c r="L13" s="69">
        <f>IF(A13="","",IF(G13&lt;=0,"CRÍTICO",IF(G13&lt;=H13,"REPOR","OK")))</f>
        <v/>
      </c>
      <c r="M13" s="67">
        <f>IF(A13="","",IF(L13="OK",0,MAX(0,I13-G13)))</f>
        <v/>
      </c>
      <c r="N13" s="71">
        <f>IF(A13="","",IF(H13&gt;0,G13/H13,99))</f>
        <v/>
      </c>
      <c r="O13" s="68">
        <f>IF(A13="","",IF(L13="OK","",N13+ROW()/100000))</f>
        <v/>
      </c>
    </row>
    <row r="14">
      <c r="A14" s="69">
        <f>IF('Produtos'!A14="","",'Produtos'!A14)</f>
        <v/>
      </c>
      <c r="B14" s="66">
        <f>IF(A14="","",'Produtos'!B14)</f>
        <v/>
      </c>
      <c r="C14" s="66">
        <f>IF(A14="","",'Produtos'!C14)</f>
        <v/>
      </c>
      <c r="D14" s="67">
        <f>IF(A14="","",'Produtos'!F14)</f>
        <v/>
      </c>
      <c r="E14" s="67">
        <f>IF(A14="","",SUMIFS('Movimentações'!$F$5:$F$1004,'Movimentações'!$C$5:$C$1004,A14,'Movimentações'!$E$5:$E$1004,"Entrada"))</f>
        <v/>
      </c>
      <c r="F14" s="67">
        <f>IF(A14="","",SUMIFS('Movimentações'!$F$5:$F$1004,'Movimentações'!$C$5:$C$1004,A14,'Movimentações'!$E$5:$E$1004,"Saída"))</f>
        <v/>
      </c>
      <c r="G14" s="67">
        <f>IF(A14="","",D14+E14-F14)</f>
        <v/>
      </c>
      <c r="H14" s="67">
        <f>IF(A14="","",'Produtos'!G14)</f>
        <v/>
      </c>
      <c r="I14" s="67">
        <f>IF(A14="","",'Produtos'!H14)</f>
        <v/>
      </c>
      <c r="J14" s="70">
        <f>IF(A14="","",'Produtos'!E14)</f>
        <v/>
      </c>
      <c r="K14" s="70">
        <f>IF(A14="","",G14*J14)</f>
        <v/>
      </c>
      <c r="L14" s="69">
        <f>IF(A14="","",IF(G14&lt;=0,"CRÍTICO",IF(G14&lt;=H14,"REPOR","OK")))</f>
        <v/>
      </c>
      <c r="M14" s="67">
        <f>IF(A14="","",IF(L14="OK",0,MAX(0,I14-G14)))</f>
        <v/>
      </c>
      <c r="N14" s="71">
        <f>IF(A14="","",IF(H14&gt;0,G14/H14,99))</f>
        <v/>
      </c>
      <c r="O14" s="68">
        <f>IF(A14="","",IF(L14="OK","",N14+ROW()/100000))</f>
        <v/>
      </c>
    </row>
    <row r="15">
      <c r="A15" s="69">
        <f>IF('Produtos'!A15="","",'Produtos'!A15)</f>
        <v/>
      </c>
      <c r="B15" s="66">
        <f>IF(A15="","",'Produtos'!B15)</f>
        <v/>
      </c>
      <c r="C15" s="66">
        <f>IF(A15="","",'Produtos'!C15)</f>
        <v/>
      </c>
      <c r="D15" s="67">
        <f>IF(A15="","",'Produtos'!F15)</f>
        <v/>
      </c>
      <c r="E15" s="67">
        <f>IF(A15="","",SUMIFS('Movimentações'!$F$5:$F$1004,'Movimentações'!$C$5:$C$1004,A15,'Movimentações'!$E$5:$E$1004,"Entrada"))</f>
        <v/>
      </c>
      <c r="F15" s="67">
        <f>IF(A15="","",SUMIFS('Movimentações'!$F$5:$F$1004,'Movimentações'!$C$5:$C$1004,A15,'Movimentações'!$E$5:$E$1004,"Saída"))</f>
        <v/>
      </c>
      <c r="G15" s="67">
        <f>IF(A15="","",D15+E15-F15)</f>
        <v/>
      </c>
      <c r="H15" s="67">
        <f>IF(A15="","",'Produtos'!G15)</f>
        <v/>
      </c>
      <c r="I15" s="67">
        <f>IF(A15="","",'Produtos'!H15)</f>
        <v/>
      </c>
      <c r="J15" s="70">
        <f>IF(A15="","",'Produtos'!E15)</f>
        <v/>
      </c>
      <c r="K15" s="70">
        <f>IF(A15="","",G15*J15)</f>
        <v/>
      </c>
      <c r="L15" s="69">
        <f>IF(A15="","",IF(G15&lt;=0,"CRÍTICO",IF(G15&lt;=H15,"REPOR","OK")))</f>
        <v/>
      </c>
      <c r="M15" s="67">
        <f>IF(A15="","",IF(L15="OK",0,MAX(0,I15-G15)))</f>
        <v/>
      </c>
      <c r="N15" s="71">
        <f>IF(A15="","",IF(H15&gt;0,G15/H15,99))</f>
        <v/>
      </c>
      <c r="O15" s="68">
        <f>IF(A15="","",IF(L15="OK","",N15+ROW()/100000))</f>
        <v/>
      </c>
    </row>
    <row r="16">
      <c r="A16" s="69">
        <f>IF('Produtos'!A16="","",'Produtos'!A16)</f>
        <v/>
      </c>
      <c r="B16" s="66">
        <f>IF(A16="","",'Produtos'!B16)</f>
        <v/>
      </c>
      <c r="C16" s="66">
        <f>IF(A16="","",'Produtos'!C16)</f>
        <v/>
      </c>
      <c r="D16" s="67">
        <f>IF(A16="","",'Produtos'!F16)</f>
        <v/>
      </c>
      <c r="E16" s="67">
        <f>IF(A16="","",SUMIFS('Movimentações'!$F$5:$F$1004,'Movimentações'!$C$5:$C$1004,A16,'Movimentações'!$E$5:$E$1004,"Entrada"))</f>
        <v/>
      </c>
      <c r="F16" s="67">
        <f>IF(A16="","",SUMIFS('Movimentações'!$F$5:$F$1004,'Movimentações'!$C$5:$C$1004,A16,'Movimentações'!$E$5:$E$1004,"Saída"))</f>
        <v/>
      </c>
      <c r="G16" s="67">
        <f>IF(A16="","",D16+E16-F16)</f>
        <v/>
      </c>
      <c r="H16" s="67">
        <f>IF(A16="","",'Produtos'!G16)</f>
        <v/>
      </c>
      <c r="I16" s="67">
        <f>IF(A16="","",'Produtos'!H16)</f>
        <v/>
      </c>
      <c r="J16" s="70">
        <f>IF(A16="","",'Produtos'!E16)</f>
        <v/>
      </c>
      <c r="K16" s="70">
        <f>IF(A16="","",G16*J16)</f>
        <v/>
      </c>
      <c r="L16" s="69">
        <f>IF(A16="","",IF(G16&lt;=0,"CRÍTICO",IF(G16&lt;=H16,"REPOR","OK")))</f>
        <v/>
      </c>
      <c r="M16" s="67">
        <f>IF(A16="","",IF(L16="OK",0,MAX(0,I16-G16)))</f>
        <v/>
      </c>
      <c r="N16" s="71">
        <f>IF(A16="","",IF(H16&gt;0,G16/H16,99))</f>
        <v/>
      </c>
      <c r="O16" s="68">
        <f>IF(A16="","",IF(L16="OK","",N16+ROW()/100000))</f>
        <v/>
      </c>
    </row>
    <row r="17">
      <c r="A17" s="69">
        <f>IF('Produtos'!A17="","",'Produtos'!A17)</f>
        <v/>
      </c>
      <c r="B17" s="66">
        <f>IF(A17="","",'Produtos'!B17)</f>
        <v/>
      </c>
      <c r="C17" s="66">
        <f>IF(A17="","",'Produtos'!C17)</f>
        <v/>
      </c>
      <c r="D17" s="67">
        <f>IF(A17="","",'Produtos'!F17)</f>
        <v/>
      </c>
      <c r="E17" s="67">
        <f>IF(A17="","",SUMIFS('Movimentações'!$F$5:$F$1004,'Movimentações'!$C$5:$C$1004,A17,'Movimentações'!$E$5:$E$1004,"Entrada"))</f>
        <v/>
      </c>
      <c r="F17" s="67">
        <f>IF(A17="","",SUMIFS('Movimentações'!$F$5:$F$1004,'Movimentações'!$C$5:$C$1004,A17,'Movimentações'!$E$5:$E$1004,"Saída"))</f>
        <v/>
      </c>
      <c r="G17" s="67">
        <f>IF(A17="","",D17+E17-F17)</f>
        <v/>
      </c>
      <c r="H17" s="67">
        <f>IF(A17="","",'Produtos'!G17)</f>
        <v/>
      </c>
      <c r="I17" s="67">
        <f>IF(A17="","",'Produtos'!H17)</f>
        <v/>
      </c>
      <c r="J17" s="70">
        <f>IF(A17="","",'Produtos'!E17)</f>
        <v/>
      </c>
      <c r="K17" s="70">
        <f>IF(A17="","",G17*J17)</f>
        <v/>
      </c>
      <c r="L17" s="69">
        <f>IF(A17="","",IF(G17&lt;=0,"CRÍTICO",IF(G17&lt;=H17,"REPOR","OK")))</f>
        <v/>
      </c>
      <c r="M17" s="67">
        <f>IF(A17="","",IF(L17="OK",0,MAX(0,I17-G17)))</f>
        <v/>
      </c>
      <c r="N17" s="71">
        <f>IF(A17="","",IF(H17&gt;0,G17/H17,99))</f>
        <v/>
      </c>
      <c r="O17" s="68">
        <f>IF(A17="","",IF(L17="OK","",N17+ROW()/100000))</f>
        <v/>
      </c>
    </row>
    <row r="18">
      <c r="A18" s="69">
        <f>IF('Produtos'!A18="","",'Produtos'!A18)</f>
        <v/>
      </c>
      <c r="B18" s="66">
        <f>IF(A18="","",'Produtos'!B18)</f>
        <v/>
      </c>
      <c r="C18" s="66">
        <f>IF(A18="","",'Produtos'!C18)</f>
        <v/>
      </c>
      <c r="D18" s="67">
        <f>IF(A18="","",'Produtos'!F18)</f>
        <v/>
      </c>
      <c r="E18" s="67">
        <f>IF(A18="","",SUMIFS('Movimentações'!$F$5:$F$1004,'Movimentações'!$C$5:$C$1004,A18,'Movimentações'!$E$5:$E$1004,"Entrada"))</f>
        <v/>
      </c>
      <c r="F18" s="67">
        <f>IF(A18="","",SUMIFS('Movimentações'!$F$5:$F$1004,'Movimentações'!$C$5:$C$1004,A18,'Movimentações'!$E$5:$E$1004,"Saída"))</f>
        <v/>
      </c>
      <c r="G18" s="67">
        <f>IF(A18="","",D18+E18-F18)</f>
        <v/>
      </c>
      <c r="H18" s="67">
        <f>IF(A18="","",'Produtos'!G18)</f>
        <v/>
      </c>
      <c r="I18" s="67">
        <f>IF(A18="","",'Produtos'!H18)</f>
        <v/>
      </c>
      <c r="J18" s="70">
        <f>IF(A18="","",'Produtos'!E18)</f>
        <v/>
      </c>
      <c r="K18" s="70">
        <f>IF(A18="","",G18*J18)</f>
        <v/>
      </c>
      <c r="L18" s="69">
        <f>IF(A18="","",IF(G18&lt;=0,"CRÍTICO",IF(G18&lt;=H18,"REPOR","OK")))</f>
        <v/>
      </c>
      <c r="M18" s="67">
        <f>IF(A18="","",IF(L18="OK",0,MAX(0,I18-G18)))</f>
        <v/>
      </c>
      <c r="N18" s="71">
        <f>IF(A18="","",IF(H18&gt;0,G18/H18,99))</f>
        <v/>
      </c>
      <c r="O18" s="68">
        <f>IF(A18="","",IF(L18="OK","",N18+ROW()/100000))</f>
        <v/>
      </c>
    </row>
    <row r="19">
      <c r="A19" s="69">
        <f>IF('Produtos'!A19="","",'Produtos'!A19)</f>
        <v/>
      </c>
      <c r="B19" s="66">
        <f>IF(A19="","",'Produtos'!B19)</f>
        <v/>
      </c>
      <c r="C19" s="66">
        <f>IF(A19="","",'Produtos'!C19)</f>
        <v/>
      </c>
      <c r="D19" s="67">
        <f>IF(A19="","",'Produtos'!F19)</f>
        <v/>
      </c>
      <c r="E19" s="67">
        <f>IF(A19="","",SUMIFS('Movimentações'!$F$5:$F$1004,'Movimentações'!$C$5:$C$1004,A19,'Movimentações'!$E$5:$E$1004,"Entrada"))</f>
        <v/>
      </c>
      <c r="F19" s="67">
        <f>IF(A19="","",SUMIFS('Movimentações'!$F$5:$F$1004,'Movimentações'!$C$5:$C$1004,A19,'Movimentações'!$E$5:$E$1004,"Saída"))</f>
        <v/>
      </c>
      <c r="G19" s="67">
        <f>IF(A19="","",D19+E19-F19)</f>
        <v/>
      </c>
      <c r="H19" s="67">
        <f>IF(A19="","",'Produtos'!G19)</f>
        <v/>
      </c>
      <c r="I19" s="67">
        <f>IF(A19="","",'Produtos'!H19)</f>
        <v/>
      </c>
      <c r="J19" s="70">
        <f>IF(A19="","",'Produtos'!E19)</f>
        <v/>
      </c>
      <c r="K19" s="70">
        <f>IF(A19="","",G19*J19)</f>
        <v/>
      </c>
      <c r="L19" s="69">
        <f>IF(A19="","",IF(G19&lt;=0,"CRÍTICO",IF(G19&lt;=H19,"REPOR","OK")))</f>
        <v/>
      </c>
      <c r="M19" s="67">
        <f>IF(A19="","",IF(L19="OK",0,MAX(0,I19-G19)))</f>
        <v/>
      </c>
      <c r="N19" s="71">
        <f>IF(A19="","",IF(H19&gt;0,G19/H19,99))</f>
        <v/>
      </c>
      <c r="O19" s="68">
        <f>IF(A19="","",IF(L19="OK","",N19+ROW()/100000))</f>
        <v/>
      </c>
    </row>
    <row r="20">
      <c r="A20" s="69">
        <f>IF('Produtos'!A20="","",'Produtos'!A20)</f>
        <v/>
      </c>
      <c r="B20" s="66">
        <f>IF(A20="","",'Produtos'!B20)</f>
        <v/>
      </c>
      <c r="C20" s="66">
        <f>IF(A20="","",'Produtos'!C20)</f>
        <v/>
      </c>
      <c r="D20" s="67">
        <f>IF(A20="","",'Produtos'!F20)</f>
        <v/>
      </c>
      <c r="E20" s="67">
        <f>IF(A20="","",SUMIFS('Movimentações'!$F$5:$F$1004,'Movimentações'!$C$5:$C$1004,A20,'Movimentações'!$E$5:$E$1004,"Entrada"))</f>
        <v/>
      </c>
      <c r="F20" s="67">
        <f>IF(A20="","",SUMIFS('Movimentações'!$F$5:$F$1004,'Movimentações'!$C$5:$C$1004,A20,'Movimentações'!$E$5:$E$1004,"Saída"))</f>
        <v/>
      </c>
      <c r="G20" s="67">
        <f>IF(A20="","",D20+E20-F20)</f>
        <v/>
      </c>
      <c r="H20" s="67">
        <f>IF(A20="","",'Produtos'!G20)</f>
        <v/>
      </c>
      <c r="I20" s="67">
        <f>IF(A20="","",'Produtos'!H20)</f>
        <v/>
      </c>
      <c r="J20" s="70">
        <f>IF(A20="","",'Produtos'!E20)</f>
        <v/>
      </c>
      <c r="K20" s="70">
        <f>IF(A20="","",G20*J20)</f>
        <v/>
      </c>
      <c r="L20" s="69">
        <f>IF(A20="","",IF(G20&lt;=0,"CRÍTICO",IF(G20&lt;=H20,"REPOR","OK")))</f>
        <v/>
      </c>
      <c r="M20" s="67">
        <f>IF(A20="","",IF(L20="OK",0,MAX(0,I20-G20)))</f>
        <v/>
      </c>
      <c r="N20" s="71">
        <f>IF(A20="","",IF(H20&gt;0,G20/H20,99))</f>
        <v/>
      </c>
      <c r="O20" s="68">
        <f>IF(A20="","",IF(L20="OK","",N20+ROW()/100000))</f>
        <v/>
      </c>
    </row>
    <row r="21">
      <c r="A21" s="69">
        <f>IF('Produtos'!A21="","",'Produtos'!A21)</f>
        <v/>
      </c>
      <c r="B21" s="66">
        <f>IF(A21="","",'Produtos'!B21)</f>
        <v/>
      </c>
      <c r="C21" s="66">
        <f>IF(A21="","",'Produtos'!C21)</f>
        <v/>
      </c>
      <c r="D21" s="67">
        <f>IF(A21="","",'Produtos'!F21)</f>
        <v/>
      </c>
      <c r="E21" s="67">
        <f>IF(A21="","",SUMIFS('Movimentações'!$F$5:$F$1004,'Movimentações'!$C$5:$C$1004,A21,'Movimentações'!$E$5:$E$1004,"Entrada"))</f>
        <v/>
      </c>
      <c r="F21" s="67">
        <f>IF(A21="","",SUMIFS('Movimentações'!$F$5:$F$1004,'Movimentações'!$C$5:$C$1004,A21,'Movimentações'!$E$5:$E$1004,"Saída"))</f>
        <v/>
      </c>
      <c r="G21" s="67">
        <f>IF(A21="","",D21+E21-F21)</f>
        <v/>
      </c>
      <c r="H21" s="67">
        <f>IF(A21="","",'Produtos'!G21)</f>
        <v/>
      </c>
      <c r="I21" s="67">
        <f>IF(A21="","",'Produtos'!H21)</f>
        <v/>
      </c>
      <c r="J21" s="70">
        <f>IF(A21="","",'Produtos'!E21)</f>
        <v/>
      </c>
      <c r="K21" s="70">
        <f>IF(A21="","",G21*J21)</f>
        <v/>
      </c>
      <c r="L21" s="69">
        <f>IF(A21="","",IF(G21&lt;=0,"CRÍTICO",IF(G21&lt;=H21,"REPOR","OK")))</f>
        <v/>
      </c>
      <c r="M21" s="67">
        <f>IF(A21="","",IF(L21="OK",0,MAX(0,I21-G21)))</f>
        <v/>
      </c>
      <c r="N21" s="71">
        <f>IF(A21="","",IF(H21&gt;0,G21/H21,99))</f>
        <v/>
      </c>
      <c r="O21" s="68">
        <f>IF(A21="","",IF(L21="OK","",N21+ROW()/100000))</f>
        <v/>
      </c>
    </row>
    <row r="22">
      <c r="A22" s="69">
        <f>IF('Produtos'!A22="","",'Produtos'!A22)</f>
        <v/>
      </c>
      <c r="B22" s="66">
        <f>IF(A22="","",'Produtos'!B22)</f>
        <v/>
      </c>
      <c r="C22" s="66">
        <f>IF(A22="","",'Produtos'!C22)</f>
        <v/>
      </c>
      <c r="D22" s="67">
        <f>IF(A22="","",'Produtos'!F22)</f>
        <v/>
      </c>
      <c r="E22" s="67">
        <f>IF(A22="","",SUMIFS('Movimentações'!$F$5:$F$1004,'Movimentações'!$C$5:$C$1004,A22,'Movimentações'!$E$5:$E$1004,"Entrada"))</f>
        <v/>
      </c>
      <c r="F22" s="67">
        <f>IF(A22="","",SUMIFS('Movimentações'!$F$5:$F$1004,'Movimentações'!$C$5:$C$1004,A22,'Movimentações'!$E$5:$E$1004,"Saída"))</f>
        <v/>
      </c>
      <c r="G22" s="67">
        <f>IF(A22="","",D22+E22-F22)</f>
        <v/>
      </c>
      <c r="H22" s="67">
        <f>IF(A22="","",'Produtos'!G22)</f>
        <v/>
      </c>
      <c r="I22" s="67">
        <f>IF(A22="","",'Produtos'!H22)</f>
        <v/>
      </c>
      <c r="J22" s="70">
        <f>IF(A22="","",'Produtos'!E22)</f>
        <v/>
      </c>
      <c r="K22" s="70">
        <f>IF(A22="","",G22*J22)</f>
        <v/>
      </c>
      <c r="L22" s="69">
        <f>IF(A22="","",IF(G22&lt;=0,"CRÍTICO",IF(G22&lt;=H22,"REPOR","OK")))</f>
        <v/>
      </c>
      <c r="M22" s="67">
        <f>IF(A22="","",IF(L22="OK",0,MAX(0,I22-G22)))</f>
        <v/>
      </c>
      <c r="N22" s="71">
        <f>IF(A22="","",IF(H22&gt;0,G22/H22,99))</f>
        <v/>
      </c>
      <c r="O22" s="68">
        <f>IF(A22="","",IF(L22="OK","",N22+ROW()/100000))</f>
        <v/>
      </c>
    </row>
    <row r="23">
      <c r="A23" s="69">
        <f>IF('Produtos'!A23="","",'Produtos'!A23)</f>
        <v/>
      </c>
      <c r="B23" s="66">
        <f>IF(A23="","",'Produtos'!B23)</f>
        <v/>
      </c>
      <c r="C23" s="66">
        <f>IF(A23="","",'Produtos'!C23)</f>
        <v/>
      </c>
      <c r="D23" s="67">
        <f>IF(A23="","",'Produtos'!F23)</f>
        <v/>
      </c>
      <c r="E23" s="67">
        <f>IF(A23="","",SUMIFS('Movimentações'!$F$5:$F$1004,'Movimentações'!$C$5:$C$1004,A23,'Movimentações'!$E$5:$E$1004,"Entrada"))</f>
        <v/>
      </c>
      <c r="F23" s="67">
        <f>IF(A23="","",SUMIFS('Movimentações'!$F$5:$F$1004,'Movimentações'!$C$5:$C$1004,A23,'Movimentações'!$E$5:$E$1004,"Saída"))</f>
        <v/>
      </c>
      <c r="G23" s="67">
        <f>IF(A23="","",D23+E23-F23)</f>
        <v/>
      </c>
      <c r="H23" s="67">
        <f>IF(A23="","",'Produtos'!G23)</f>
        <v/>
      </c>
      <c r="I23" s="67">
        <f>IF(A23="","",'Produtos'!H23)</f>
        <v/>
      </c>
      <c r="J23" s="70">
        <f>IF(A23="","",'Produtos'!E23)</f>
        <v/>
      </c>
      <c r="K23" s="70">
        <f>IF(A23="","",G23*J23)</f>
        <v/>
      </c>
      <c r="L23" s="69">
        <f>IF(A23="","",IF(G23&lt;=0,"CRÍTICO",IF(G23&lt;=H23,"REPOR","OK")))</f>
        <v/>
      </c>
      <c r="M23" s="67">
        <f>IF(A23="","",IF(L23="OK",0,MAX(0,I23-G23)))</f>
        <v/>
      </c>
      <c r="N23" s="71">
        <f>IF(A23="","",IF(H23&gt;0,G23/H23,99))</f>
        <v/>
      </c>
      <c r="O23" s="68">
        <f>IF(A23="","",IF(L23="OK","",N23+ROW()/100000))</f>
        <v/>
      </c>
    </row>
    <row r="24">
      <c r="A24" s="69">
        <f>IF('Produtos'!A24="","",'Produtos'!A24)</f>
        <v/>
      </c>
      <c r="B24" s="66">
        <f>IF(A24="","",'Produtos'!B24)</f>
        <v/>
      </c>
      <c r="C24" s="66">
        <f>IF(A24="","",'Produtos'!C24)</f>
        <v/>
      </c>
      <c r="D24" s="67">
        <f>IF(A24="","",'Produtos'!F24)</f>
        <v/>
      </c>
      <c r="E24" s="67">
        <f>IF(A24="","",SUMIFS('Movimentações'!$F$5:$F$1004,'Movimentações'!$C$5:$C$1004,A24,'Movimentações'!$E$5:$E$1004,"Entrada"))</f>
        <v/>
      </c>
      <c r="F24" s="67">
        <f>IF(A24="","",SUMIFS('Movimentações'!$F$5:$F$1004,'Movimentações'!$C$5:$C$1004,A24,'Movimentações'!$E$5:$E$1004,"Saída"))</f>
        <v/>
      </c>
      <c r="G24" s="67">
        <f>IF(A24="","",D24+E24-F24)</f>
        <v/>
      </c>
      <c r="H24" s="67">
        <f>IF(A24="","",'Produtos'!G24)</f>
        <v/>
      </c>
      <c r="I24" s="67">
        <f>IF(A24="","",'Produtos'!H24)</f>
        <v/>
      </c>
      <c r="J24" s="70">
        <f>IF(A24="","",'Produtos'!E24)</f>
        <v/>
      </c>
      <c r="K24" s="70">
        <f>IF(A24="","",G24*J24)</f>
        <v/>
      </c>
      <c r="L24" s="69">
        <f>IF(A24="","",IF(G24&lt;=0,"CRÍTICO",IF(G24&lt;=H24,"REPOR","OK")))</f>
        <v/>
      </c>
      <c r="M24" s="67">
        <f>IF(A24="","",IF(L24="OK",0,MAX(0,I24-G24)))</f>
        <v/>
      </c>
      <c r="N24" s="71">
        <f>IF(A24="","",IF(H24&gt;0,G24/H24,99))</f>
        <v/>
      </c>
      <c r="O24" s="68">
        <f>IF(A24="","",IF(L24="OK","",N24+ROW()/100000))</f>
        <v/>
      </c>
    </row>
    <row r="25">
      <c r="A25" s="69">
        <f>IF('Produtos'!A25="","",'Produtos'!A25)</f>
        <v/>
      </c>
      <c r="B25" s="66">
        <f>IF(A25="","",'Produtos'!B25)</f>
        <v/>
      </c>
      <c r="C25" s="66">
        <f>IF(A25="","",'Produtos'!C25)</f>
        <v/>
      </c>
      <c r="D25" s="67">
        <f>IF(A25="","",'Produtos'!F25)</f>
        <v/>
      </c>
      <c r="E25" s="67">
        <f>IF(A25="","",SUMIFS('Movimentações'!$F$5:$F$1004,'Movimentações'!$C$5:$C$1004,A25,'Movimentações'!$E$5:$E$1004,"Entrada"))</f>
        <v/>
      </c>
      <c r="F25" s="67">
        <f>IF(A25="","",SUMIFS('Movimentações'!$F$5:$F$1004,'Movimentações'!$C$5:$C$1004,A25,'Movimentações'!$E$5:$E$1004,"Saída"))</f>
        <v/>
      </c>
      <c r="G25" s="67">
        <f>IF(A25="","",D25+E25-F25)</f>
        <v/>
      </c>
      <c r="H25" s="67">
        <f>IF(A25="","",'Produtos'!G25)</f>
        <v/>
      </c>
      <c r="I25" s="67">
        <f>IF(A25="","",'Produtos'!H25)</f>
        <v/>
      </c>
      <c r="J25" s="70">
        <f>IF(A25="","",'Produtos'!E25)</f>
        <v/>
      </c>
      <c r="K25" s="70">
        <f>IF(A25="","",G25*J25)</f>
        <v/>
      </c>
      <c r="L25" s="69">
        <f>IF(A25="","",IF(G25&lt;=0,"CRÍTICO",IF(G25&lt;=H25,"REPOR","OK")))</f>
        <v/>
      </c>
      <c r="M25" s="67">
        <f>IF(A25="","",IF(L25="OK",0,MAX(0,I25-G25)))</f>
        <v/>
      </c>
      <c r="N25" s="71">
        <f>IF(A25="","",IF(H25&gt;0,G25/H25,99))</f>
        <v/>
      </c>
      <c r="O25" s="68">
        <f>IF(A25="","",IF(L25="OK","",N25+ROW()/100000))</f>
        <v/>
      </c>
    </row>
    <row r="26">
      <c r="A26" s="69">
        <f>IF('Produtos'!A26="","",'Produtos'!A26)</f>
        <v/>
      </c>
      <c r="B26" s="66">
        <f>IF(A26="","",'Produtos'!B26)</f>
        <v/>
      </c>
      <c r="C26" s="66">
        <f>IF(A26="","",'Produtos'!C26)</f>
        <v/>
      </c>
      <c r="D26" s="67">
        <f>IF(A26="","",'Produtos'!F26)</f>
        <v/>
      </c>
      <c r="E26" s="67">
        <f>IF(A26="","",SUMIFS('Movimentações'!$F$5:$F$1004,'Movimentações'!$C$5:$C$1004,A26,'Movimentações'!$E$5:$E$1004,"Entrada"))</f>
        <v/>
      </c>
      <c r="F26" s="67">
        <f>IF(A26="","",SUMIFS('Movimentações'!$F$5:$F$1004,'Movimentações'!$C$5:$C$1004,A26,'Movimentações'!$E$5:$E$1004,"Saída"))</f>
        <v/>
      </c>
      <c r="G26" s="67">
        <f>IF(A26="","",D26+E26-F26)</f>
        <v/>
      </c>
      <c r="H26" s="67">
        <f>IF(A26="","",'Produtos'!G26)</f>
        <v/>
      </c>
      <c r="I26" s="67">
        <f>IF(A26="","",'Produtos'!H26)</f>
        <v/>
      </c>
      <c r="J26" s="70">
        <f>IF(A26="","",'Produtos'!E26)</f>
        <v/>
      </c>
      <c r="K26" s="70">
        <f>IF(A26="","",G26*J26)</f>
        <v/>
      </c>
      <c r="L26" s="69">
        <f>IF(A26="","",IF(G26&lt;=0,"CRÍTICO",IF(G26&lt;=H26,"REPOR","OK")))</f>
        <v/>
      </c>
      <c r="M26" s="67">
        <f>IF(A26="","",IF(L26="OK",0,MAX(0,I26-G26)))</f>
        <v/>
      </c>
      <c r="N26" s="71">
        <f>IF(A26="","",IF(H26&gt;0,G26/H26,99))</f>
        <v/>
      </c>
      <c r="O26" s="68">
        <f>IF(A26="","",IF(L26="OK","",N26+ROW()/100000))</f>
        <v/>
      </c>
    </row>
    <row r="27">
      <c r="A27" s="69">
        <f>IF('Produtos'!A27="","",'Produtos'!A27)</f>
        <v/>
      </c>
      <c r="B27" s="66">
        <f>IF(A27="","",'Produtos'!B27)</f>
        <v/>
      </c>
      <c r="C27" s="66">
        <f>IF(A27="","",'Produtos'!C27)</f>
        <v/>
      </c>
      <c r="D27" s="67">
        <f>IF(A27="","",'Produtos'!F27)</f>
        <v/>
      </c>
      <c r="E27" s="67">
        <f>IF(A27="","",SUMIFS('Movimentações'!$F$5:$F$1004,'Movimentações'!$C$5:$C$1004,A27,'Movimentações'!$E$5:$E$1004,"Entrada"))</f>
        <v/>
      </c>
      <c r="F27" s="67">
        <f>IF(A27="","",SUMIFS('Movimentações'!$F$5:$F$1004,'Movimentações'!$C$5:$C$1004,A27,'Movimentações'!$E$5:$E$1004,"Saída"))</f>
        <v/>
      </c>
      <c r="G27" s="67">
        <f>IF(A27="","",D27+E27-F27)</f>
        <v/>
      </c>
      <c r="H27" s="67">
        <f>IF(A27="","",'Produtos'!G27)</f>
        <v/>
      </c>
      <c r="I27" s="67">
        <f>IF(A27="","",'Produtos'!H27)</f>
        <v/>
      </c>
      <c r="J27" s="70">
        <f>IF(A27="","",'Produtos'!E27)</f>
        <v/>
      </c>
      <c r="K27" s="70">
        <f>IF(A27="","",G27*J27)</f>
        <v/>
      </c>
      <c r="L27" s="69">
        <f>IF(A27="","",IF(G27&lt;=0,"CRÍTICO",IF(G27&lt;=H27,"REPOR","OK")))</f>
        <v/>
      </c>
      <c r="M27" s="67">
        <f>IF(A27="","",IF(L27="OK",0,MAX(0,I27-G27)))</f>
        <v/>
      </c>
      <c r="N27" s="71">
        <f>IF(A27="","",IF(H27&gt;0,G27/H27,99))</f>
        <v/>
      </c>
      <c r="O27" s="68">
        <f>IF(A27="","",IF(L27="OK","",N27+ROW()/100000))</f>
        <v/>
      </c>
    </row>
    <row r="28">
      <c r="A28" s="69">
        <f>IF('Produtos'!A28="","",'Produtos'!A28)</f>
        <v/>
      </c>
      <c r="B28" s="66">
        <f>IF(A28="","",'Produtos'!B28)</f>
        <v/>
      </c>
      <c r="C28" s="66">
        <f>IF(A28="","",'Produtos'!C28)</f>
        <v/>
      </c>
      <c r="D28" s="67">
        <f>IF(A28="","",'Produtos'!F28)</f>
        <v/>
      </c>
      <c r="E28" s="67">
        <f>IF(A28="","",SUMIFS('Movimentações'!$F$5:$F$1004,'Movimentações'!$C$5:$C$1004,A28,'Movimentações'!$E$5:$E$1004,"Entrada"))</f>
        <v/>
      </c>
      <c r="F28" s="67">
        <f>IF(A28="","",SUMIFS('Movimentações'!$F$5:$F$1004,'Movimentações'!$C$5:$C$1004,A28,'Movimentações'!$E$5:$E$1004,"Saída"))</f>
        <v/>
      </c>
      <c r="G28" s="67">
        <f>IF(A28="","",D28+E28-F28)</f>
        <v/>
      </c>
      <c r="H28" s="67">
        <f>IF(A28="","",'Produtos'!G28)</f>
        <v/>
      </c>
      <c r="I28" s="67">
        <f>IF(A28="","",'Produtos'!H28)</f>
        <v/>
      </c>
      <c r="J28" s="70">
        <f>IF(A28="","",'Produtos'!E28)</f>
        <v/>
      </c>
      <c r="K28" s="70">
        <f>IF(A28="","",G28*J28)</f>
        <v/>
      </c>
      <c r="L28" s="69">
        <f>IF(A28="","",IF(G28&lt;=0,"CRÍTICO",IF(G28&lt;=H28,"REPOR","OK")))</f>
        <v/>
      </c>
      <c r="M28" s="67">
        <f>IF(A28="","",IF(L28="OK",0,MAX(0,I28-G28)))</f>
        <v/>
      </c>
      <c r="N28" s="71">
        <f>IF(A28="","",IF(H28&gt;0,G28/H28,99))</f>
        <v/>
      </c>
      <c r="O28" s="68">
        <f>IF(A28="","",IF(L28="OK","",N28+ROW()/100000))</f>
        <v/>
      </c>
    </row>
    <row r="29">
      <c r="A29" s="69">
        <f>IF('Produtos'!A29="","",'Produtos'!A29)</f>
        <v/>
      </c>
      <c r="B29" s="66">
        <f>IF(A29="","",'Produtos'!B29)</f>
        <v/>
      </c>
      <c r="C29" s="66">
        <f>IF(A29="","",'Produtos'!C29)</f>
        <v/>
      </c>
      <c r="D29" s="67">
        <f>IF(A29="","",'Produtos'!F29)</f>
        <v/>
      </c>
      <c r="E29" s="67">
        <f>IF(A29="","",SUMIFS('Movimentações'!$F$5:$F$1004,'Movimentações'!$C$5:$C$1004,A29,'Movimentações'!$E$5:$E$1004,"Entrada"))</f>
        <v/>
      </c>
      <c r="F29" s="67">
        <f>IF(A29="","",SUMIFS('Movimentações'!$F$5:$F$1004,'Movimentações'!$C$5:$C$1004,A29,'Movimentações'!$E$5:$E$1004,"Saída"))</f>
        <v/>
      </c>
      <c r="G29" s="67">
        <f>IF(A29="","",D29+E29-F29)</f>
        <v/>
      </c>
      <c r="H29" s="67">
        <f>IF(A29="","",'Produtos'!G29)</f>
        <v/>
      </c>
      <c r="I29" s="67">
        <f>IF(A29="","",'Produtos'!H29)</f>
        <v/>
      </c>
      <c r="J29" s="70">
        <f>IF(A29="","",'Produtos'!E29)</f>
        <v/>
      </c>
      <c r="K29" s="70">
        <f>IF(A29="","",G29*J29)</f>
        <v/>
      </c>
      <c r="L29" s="69">
        <f>IF(A29="","",IF(G29&lt;=0,"CRÍTICO",IF(G29&lt;=H29,"REPOR","OK")))</f>
        <v/>
      </c>
      <c r="M29" s="67">
        <f>IF(A29="","",IF(L29="OK",0,MAX(0,I29-G29)))</f>
        <v/>
      </c>
      <c r="N29" s="71">
        <f>IF(A29="","",IF(H29&gt;0,G29/H29,99))</f>
        <v/>
      </c>
      <c r="O29" s="68">
        <f>IF(A29="","",IF(L29="OK","",N29+ROW()/100000))</f>
        <v/>
      </c>
    </row>
    <row r="30">
      <c r="A30" s="69">
        <f>IF('Produtos'!A30="","",'Produtos'!A30)</f>
        <v/>
      </c>
      <c r="B30" s="66">
        <f>IF(A30="","",'Produtos'!B30)</f>
        <v/>
      </c>
      <c r="C30" s="66">
        <f>IF(A30="","",'Produtos'!C30)</f>
        <v/>
      </c>
      <c r="D30" s="67">
        <f>IF(A30="","",'Produtos'!F30)</f>
        <v/>
      </c>
      <c r="E30" s="67">
        <f>IF(A30="","",SUMIFS('Movimentações'!$F$5:$F$1004,'Movimentações'!$C$5:$C$1004,A30,'Movimentações'!$E$5:$E$1004,"Entrada"))</f>
        <v/>
      </c>
      <c r="F30" s="67">
        <f>IF(A30="","",SUMIFS('Movimentações'!$F$5:$F$1004,'Movimentações'!$C$5:$C$1004,A30,'Movimentações'!$E$5:$E$1004,"Saída"))</f>
        <v/>
      </c>
      <c r="G30" s="67">
        <f>IF(A30="","",D30+E30-F30)</f>
        <v/>
      </c>
      <c r="H30" s="67">
        <f>IF(A30="","",'Produtos'!G30)</f>
        <v/>
      </c>
      <c r="I30" s="67">
        <f>IF(A30="","",'Produtos'!H30)</f>
        <v/>
      </c>
      <c r="J30" s="70">
        <f>IF(A30="","",'Produtos'!E30)</f>
        <v/>
      </c>
      <c r="K30" s="70">
        <f>IF(A30="","",G30*J30)</f>
        <v/>
      </c>
      <c r="L30" s="69">
        <f>IF(A30="","",IF(G30&lt;=0,"CRÍTICO",IF(G30&lt;=H30,"REPOR","OK")))</f>
        <v/>
      </c>
      <c r="M30" s="67">
        <f>IF(A30="","",IF(L30="OK",0,MAX(0,I30-G30)))</f>
        <v/>
      </c>
      <c r="N30" s="71">
        <f>IF(A30="","",IF(H30&gt;0,G30/H30,99))</f>
        <v/>
      </c>
      <c r="O30" s="68">
        <f>IF(A30="","",IF(L30="OK","",N30+ROW()/100000))</f>
        <v/>
      </c>
    </row>
    <row r="31">
      <c r="A31" s="69">
        <f>IF('Produtos'!A31="","",'Produtos'!A31)</f>
        <v/>
      </c>
      <c r="B31" s="66">
        <f>IF(A31="","",'Produtos'!B31)</f>
        <v/>
      </c>
      <c r="C31" s="66">
        <f>IF(A31="","",'Produtos'!C31)</f>
        <v/>
      </c>
      <c r="D31" s="67">
        <f>IF(A31="","",'Produtos'!F31)</f>
        <v/>
      </c>
      <c r="E31" s="67">
        <f>IF(A31="","",SUMIFS('Movimentações'!$F$5:$F$1004,'Movimentações'!$C$5:$C$1004,A31,'Movimentações'!$E$5:$E$1004,"Entrada"))</f>
        <v/>
      </c>
      <c r="F31" s="67">
        <f>IF(A31="","",SUMIFS('Movimentações'!$F$5:$F$1004,'Movimentações'!$C$5:$C$1004,A31,'Movimentações'!$E$5:$E$1004,"Saída"))</f>
        <v/>
      </c>
      <c r="G31" s="67">
        <f>IF(A31="","",D31+E31-F31)</f>
        <v/>
      </c>
      <c r="H31" s="67">
        <f>IF(A31="","",'Produtos'!G31)</f>
        <v/>
      </c>
      <c r="I31" s="67">
        <f>IF(A31="","",'Produtos'!H31)</f>
        <v/>
      </c>
      <c r="J31" s="70">
        <f>IF(A31="","",'Produtos'!E31)</f>
        <v/>
      </c>
      <c r="K31" s="70">
        <f>IF(A31="","",G31*J31)</f>
        <v/>
      </c>
      <c r="L31" s="69">
        <f>IF(A31="","",IF(G31&lt;=0,"CRÍTICO",IF(G31&lt;=H31,"REPOR","OK")))</f>
        <v/>
      </c>
      <c r="M31" s="67">
        <f>IF(A31="","",IF(L31="OK",0,MAX(0,I31-G31)))</f>
        <v/>
      </c>
      <c r="N31" s="71">
        <f>IF(A31="","",IF(H31&gt;0,G31/H31,99))</f>
        <v/>
      </c>
      <c r="O31" s="68">
        <f>IF(A31="","",IF(L31="OK","",N31+ROW()/100000))</f>
        <v/>
      </c>
    </row>
    <row r="32">
      <c r="A32" s="69">
        <f>IF('Produtos'!A32="","",'Produtos'!A32)</f>
        <v/>
      </c>
      <c r="B32" s="66">
        <f>IF(A32="","",'Produtos'!B32)</f>
        <v/>
      </c>
      <c r="C32" s="66">
        <f>IF(A32="","",'Produtos'!C32)</f>
        <v/>
      </c>
      <c r="D32" s="67">
        <f>IF(A32="","",'Produtos'!F32)</f>
        <v/>
      </c>
      <c r="E32" s="67">
        <f>IF(A32="","",SUMIFS('Movimentações'!$F$5:$F$1004,'Movimentações'!$C$5:$C$1004,A32,'Movimentações'!$E$5:$E$1004,"Entrada"))</f>
        <v/>
      </c>
      <c r="F32" s="67">
        <f>IF(A32="","",SUMIFS('Movimentações'!$F$5:$F$1004,'Movimentações'!$C$5:$C$1004,A32,'Movimentações'!$E$5:$E$1004,"Saída"))</f>
        <v/>
      </c>
      <c r="G32" s="67">
        <f>IF(A32="","",D32+E32-F32)</f>
        <v/>
      </c>
      <c r="H32" s="67">
        <f>IF(A32="","",'Produtos'!G32)</f>
        <v/>
      </c>
      <c r="I32" s="67">
        <f>IF(A32="","",'Produtos'!H32)</f>
        <v/>
      </c>
      <c r="J32" s="70">
        <f>IF(A32="","",'Produtos'!E32)</f>
        <v/>
      </c>
      <c r="K32" s="70">
        <f>IF(A32="","",G32*J32)</f>
        <v/>
      </c>
      <c r="L32" s="69">
        <f>IF(A32="","",IF(G32&lt;=0,"CRÍTICO",IF(G32&lt;=H32,"REPOR","OK")))</f>
        <v/>
      </c>
      <c r="M32" s="67">
        <f>IF(A32="","",IF(L32="OK",0,MAX(0,I32-G32)))</f>
        <v/>
      </c>
      <c r="N32" s="71">
        <f>IF(A32="","",IF(H32&gt;0,G32/H32,99))</f>
        <v/>
      </c>
      <c r="O32" s="68">
        <f>IF(A32="","",IF(L32="OK","",N32+ROW()/100000))</f>
        <v/>
      </c>
    </row>
    <row r="33">
      <c r="A33" s="69">
        <f>IF('Produtos'!A33="","",'Produtos'!A33)</f>
        <v/>
      </c>
      <c r="B33" s="66">
        <f>IF(A33="","",'Produtos'!B33)</f>
        <v/>
      </c>
      <c r="C33" s="66">
        <f>IF(A33="","",'Produtos'!C33)</f>
        <v/>
      </c>
      <c r="D33" s="67">
        <f>IF(A33="","",'Produtos'!F33)</f>
        <v/>
      </c>
      <c r="E33" s="67">
        <f>IF(A33="","",SUMIFS('Movimentações'!$F$5:$F$1004,'Movimentações'!$C$5:$C$1004,A33,'Movimentações'!$E$5:$E$1004,"Entrada"))</f>
        <v/>
      </c>
      <c r="F33" s="67">
        <f>IF(A33="","",SUMIFS('Movimentações'!$F$5:$F$1004,'Movimentações'!$C$5:$C$1004,A33,'Movimentações'!$E$5:$E$1004,"Saída"))</f>
        <v/>
      </c>
      <c r="G33" s="67">
        <f>IF(A33="","",D33+E33-F33)</f>
        <v/>
      </c>
      <c r="H33" s="67">
        <f>IF(A33="","",'Produtos'!G33)</f>
        <v/>
      </c>
      <c r="I33" s="67">
        <f>IF(A33="","",'Produtos'!H33)</f>
        <v/>
      </c>
      <c r="J33" s="70">
        <f>IF(A33="","",'Produtos'!E33)</f>
        <v/>
      </c>
      <c r="K33" s="70">
        <f>IF(A33="","",G33*J33)</f>
        <v/>
      </c>
      <c r="L33" s="69">
        <f>IF(A33="","",IF(G33&lt;=0,"CRÍTICO",IF(G33&lt;=H33,"REPOR","OK")))</f>
        <v/>
      </c>
      <c r="M33" s="67">
        <f>IF(A33="","",IF(L33="OK",0,MAX(0,I33-G33)))</f>
        <v/>
      </c>
      <c r="N33" s="71">
        <f>IF(A33="","",IF(H33&gt;0,G33/H33,99))</f>
        <v/>
      </c>
      <c r="O33" s="68">
        <f>IF(A33="","",IF(L33="OK","",N33+ROW()/100000))</f>
        <v/>
      </c>
    </row>
    <row r="34">
      <c r="A34" s="69">
        <f>IF('Produtos'!A34="","",'Produtos'!A34)</f>
        <v/>
      </c>
      <c r="B34" s="66">
        <f>IF(A34="","",'Produtos'!B34)</f>
        <v/>
      </c>
      <c r="C34" s="66">
        <f>IF(A34="","",'Produtos'!C34)</f>
        <v/>
      </c>
      <c r="D34" s="67">
        <f>IF(A34="","",'Produtos'!F34)</f>
        <v/>
      </c>
      <c r="E34" s="67">
        <f>IF(A34="","",SUMIFS('Movimentações'!$F$5:$F$1004,'Movimentações'!$C$5:$C$1004,A34,'Movimentações'!$E$5:$E$1004,"Entrada"))</f>
        <v/>
      </c>
      <c r="F34" s="67">
        <f>IF(A34="","",SUMIFS('Movimentações'!$F$5:$F$1004,'Movimentações'!$C$5:$C$1004,A34,'Movimentações'!$E$5:$E$1004,"Saída"))</f>
        <v/>
      </c>
      <c r="G34" s="67">
        <f>IF(A34="","",D34+E34-F34)</f>
        <v/>
      </c>
      <c r="H34" s="67">
        <f>IF(A34="","",'Produtos'!G34)</f>
        <v/>
      </c>
      <c r="I34" s="67">
        <f>IF(A34="","",'Produtos'!H34)</f>
        <v/>
      </c>
      <c r="J34" s="70">
        <f>IF(A34="","",'Produtos'!E34)</f>
        <v/>
      </c>
      <c r="K34" s="70">
        <f>IF(A34="","",G34*J34)</f>
        <v/>
      </c>
      <c r="L34" s="69">
        <f>IF(A34="","",IF(G34&lt;=0,"CRÍTICO",IF(G34&lt;=H34,"REPOR","OK")))</f>
        <v/>
      </c>
      <c r="M34" s="67">
        <f>IF(A34="","",IF(L34="OK",0,MAX(0,I34-G34)))</f>
        <v/>
      </c>
      <c r="N34" s="71">
        <f>IF(A34="","",IF(H34&gt;0,G34/H34,99))</f>
        <v/>
      </c>
      <c r="O34" s="68">
        <f>IF(A34="","",IF(L34="OK","",N34+ROW()/100000))</f>
        <v/>
      </c>
    </row>
    <row r="35">
      <c r="A35" s="69">
        <f>IF('Produtos'!A35="","",'Produtos'!A35)</f>
        <v/>
      </c>
      <c r="B35" s="66">
        <f>IF(A35="","",'Produtos'!B35)</f>
        <v/>
      </c>
      <c r="C35" s="66">
        <f>IF(A35="","",'Produtos'!C35)</f>
        <v/>
      </c>
      <c r="D35" s="67">
        <f>IF(A35="","",'Produtos'!F35)</f>
        <v/>
      </c>
      <c r="E35" s="67">
        <f>IF(A35="","",SUMIFS('Movimentações'!$F$5:$F$1004,'Movimentações'!$C$5:$C$1004,A35,'Movimentações'!$E$5:$E$1004,"Entrada"))</f>
        <v/>
      </c>
      <c r="F35" s="67">
        <f>IF(A35="","",SUMIFS('Movimentações'!$F$5:$F$1004,'Movimentações'!$C$5:$C$1004,A35,'Movimentações'!$E$5:$E$1004,"Saída"))</f>
        <v/>
      </c>
      <c r="G35" s="67">
        <f>IF(A35="","",D35+E35-F35)</f>
        <v/>
      </c>
      <c r="H35" s="67">
        <f>IF(A35="","",'Produtos'!G35)</f>
        <v/>
      </c>
      <c r="I35" s="67">
        <f>IF(A35="","",'Produtos'!H35)</f>
        <v/>
      </c>
      <c r="J35" s="70">
        <f>IF(A35="","",'Produtos'!E35)</f>
        <v/>
      </c>
      <c r="K35" s="70">
        <f>IF(A35="","",G35*J35)</f>
        <v/>
      </c>
      <c r="L35" s="69">
        <f>IF(A35="","",IF(G35&lt;=0,"CRÍTICO",IF(G35&lt;=H35,"REPOR","OK")))</f>
        <v/>
      </c>
      <c r="M35" s="67">
        <f>IF(A35="","",IF(L35="OK",0,MAX(0,I35-G35)))</f>
        <v/>
      </c>
      <c r="N35" s="71">
        <f>IF(A35="","",IF(H35&gt;0,G35/H35,99))</f>
        <v/>
      </c>
      <c r="O35" s="68">
        <f>IF(A35="","",IF(L35="OK","",N35+ROW()/100000))</f>
        <v/>
      </c>
    </row>
    <row r="36">
      <c r="A36" s="69">
        <f>IF('Produtos'!A36="","",'Produtos'!A36)</f>
        <v/>
      </c>
      <c r="B36" s="66">
        <f>IF(A36="","",'Produtos'!B36)</f>
        <v/>
      </c>
      <c r="C36" s="66">
        <f>IF(A36="","",'Produtos'!C36)</f>
        <v/>
      </c>
      <c r="D36" s="67">
        <f>IF(A36="","",'Produtos'!F36)</f>
        <v/>
      </c>
      <c r="E36" s="67">
        <f>IF(A36="","",SUMIFS('Movimentações'!$F$5:$F$1004,'Movimentações'!$C$5:$C$1004,A36,'Movimentações'!$E$5:$E$1004,"Entrada"))</f>
        <v/>
      </c>
      <c r="F36" s="67">
        <f>IF(A36="","",SUMIFS('Movimentações'!$F$5:$F$1004,'Movimentações'!$C$5:$C$1004,A36,'Movimentações'!$E$5:$E$1004,"Saída"))</f>
        <v/>
      </c>
      <c r="G36" s="67">
        <f>IF(A36="","",D36+E36-F36)</f>
        <v/>
      </c>
      <c r="H36" s="67">
        <f>IF(A36="","",'Produtos'!G36)</f>
        <v/>
      </c>
      <c r="I36" s="67">
        <f>IF(A36="","",'Produtos'!H36)</f>
        <v/>
      </c>
      <c r="J36" s="70">
        <f>IF(A36="","",'Produtos'!E36)</f>
        <v/>
      </c>
      <c r="K36" s="70">
        <f>IF(A36="","",G36*J36)</f>
        <v/>
      </c>
      <c r="L36" s="69">
        <f>IF(A36="","",IF(G36&lt;=0,"CRÍTICO",IF(G36&lt;=H36,"REPOR","OK")))</f>
        <v/>
      </c>
      <c r="M36" s="67">
        <f>IF(A36="","",IF(L36="OK",0,MAX(0,I36-G36)))</f>
        <v/>
      </c>
      <c r="N36" s="71">
        <f>IF(A36="","",IF(H36&gt;0,G36/H36,99))</f>
        <v/>
      </c>
      <c r="O36" s="68">
        <f>IF(A36="","",IF(L36="OK","",N36+ROW()/100000))</f>
        <v/>
      </c>
    </row>
    <row r="37">
      <c r="A37" s="69">
        <f>IF('Produtos'!A37="","",'Produtos'!A37)</f>
        <v/>
      </c>
      <c r="B37" s="66">
        <f>IF(A37="","",'Produtos'!B37)</f>
        <v/>
      </c>
      <c r="C37" s="66">
        <f>IF(A37="","",'Produtos'!C37)</f>
        <v/>
      </c>
      <c r="D37" s="67">
        <f>IF(A37="","",'Produtos'!F37)</f>
        <v/>
      </c>
      <c r="E37" s="67">
        <f>IF(A37="","",SUMIFS('Movimentações'!$F$5:$F$1004,'Movimentações'!$C$5:$C$1004,A37,'Movimentações'!$E$5:$E$1004,"Entrada"))</f>
        <v/>
      </c>
      <c r="F37" s="67">
        <f>IF(A37="","",SUMIFS('Movimentações'!$F$5:$F$1004,'Movimentações'!$C$5:$C$1004,A37,'Movimentações'!$E$5:$E$1004,"Saída"))</f>
        <v/>
      </c>
      <c r="G37" s="67">
        <f>IF(A37="","",D37+E37-F37)</f>
        <v/>
      </c>
      <c r="H37" s="67">
        <f>IF(A37="","",'Produtos'!G37)</f>
        <v/>
      </c>
      <c r="I37" s="67">
        <f>IF(A37="","",'Produtos'!H37)</f>
        <v/>
      </c>
      <c r="J37" s="70">
        <f>IF(A37="","",'Produtos'!E37)</f>
        <v/>
      </c>
      <c r="K37" s="70">
        <f>IF(A37="","",G37*J37)</f>
        <v/>
      </c>
      <c r="L37" s="69">
        <f>IF(A37="","",IF(G37&lt;=0,"CRÍTICO",IF(G37&lt;=H37,"REPOR","OK")))</f>
        <v/>
      </c>
      <c r="M37" s="67">
        <f>IF(A37="","",IF(L37="OK",0,MAX(0,I37-G37)))</f>
        <v/>
      </c>
      <c r="N37" s="71">
        <f>IF(A37="","",IF(H37&gt;0,G37/H37,99))</f>
        <v/>
      </c>
      <c r="O37" s="68">
        <f>IF(A37="","",IF(L37="OK","",N37+ROW()/100000))</f>
        <v/>
      </c>
    </row>
    <row r="38">
      <c r="A38" s="69">
        <f>IF('Produtos'!A38="","",'Produtos'!A38)</f>
        <v/>
      </c>
      <c r="B38" s="66">
        <f>IF(A38="","",'Produtos'!B38)</f>
        <v/>
      </c>
      <c r="C38" s="66">
        <f>IF(A38="","",'Produtos'!C38)</f>
        <v/>
      </c>
      <c r="D38" s="67">
        <f>IF(A38="","",'Produtos'!F38)</f>
        <v/>
      </c>
      <c r="E38" s="67">
        <f>IF(A38="","",SUMIFS('Movimentações'!$F$5:$F$1004,'Movimentações'!$C$5:$C$1004,A38,'Movimentações'!$E$5:$E$1004,"Entrada"))</f>
        <v/>
      </c>
      <c r="F38" s="67">
        <f>IF(A38="","",SUMIFS('Movimentações'!$F$5:$F$1004,'Movimentações'!$C$5:$C$1004,A38,'Movimentações'!$E$5:$E$1004,"Saída"))</f>
        <v/>
      </c>
      <c r="G38" s="67">
        <f>IF(A38="","",D38+E38-F38)</f>
        <v/>
      </c>
      <c r="H38" s="67">
        <f>IF(A38="","",'Produtos'!G38)</f>
        <v/>
      </c>
      <c r="I38" s="67">
        <f>IF(A38="","",'Produtos'!H38)</f>
        <v/>
      </c>
      <c r="J38" s="70">
        <f>IF(A38="","",'Produtos'!E38)</f>
        <v/>
      </c>
      <c r="K38" s="70">
        <f>IF(A38="","",G38*J38)</f>
        <v/>
      </c>
      <c r="L38" s="69">
        <f>IF(A38="","",IF(G38&lt;=0,"CRÍTICO",IF(G38&lt;=H38,"REPOR","OK")))</f>
        <v/>
      </c>
      <c r="M38" s="67">
        <f>IF(A38="","",IF(L38="OK",0,MAX(0,I38-G38)))</f>
        <v/>
      </c>
      <c r="N38" s="71">
        <f>IF(A38="","",IF(H38&gt;0,G38/H38,99))</f>
        <v/>
      </c>
      <c r="O38" s="68">
        <f>IF(A38="","",IF(L38="OK","",N38+ROW()/100000))</f>
        <v/>
      </c>
    </row>
    <row r="39">
      <c r="A39" s="69">
        <f>IF('Produtos'!A39="","",'Produtos'!A39)</f>
        <v/>
      </c>
      <c r="B39" s="66">
        <f>IF(A39="","",'Produtos'!B39)</f>
        <v/>
      </c>
      <c r="C39" s="66">
        <f>IF(A39="","",'Produtos'!C39)</f>
        <v/>
      </c>
      <c r="D39" s="67">
        <f>IF(A39="","",'Produtos'!F39)</f>
        <v/>
      </c>
      <c r="E39" s="67">
        <f>IF(A39="","",SUMIFS('Movimentações'!$F$5:$F$1004,'Movimentações'!$C$5:$C$1004,A39,'Movimentações'!$E$5:$E$1004,"Entrada"))</f>
        <v/>
      </c>
      <c r="F39" s="67">
        <f>IF(A39="","",SUMIFS('Movimentações'!$F$5:$F$1004,'Movimentações'!$C$5:$C$1004,A39,'Movimentações'!$E$5:$E$1004,"Saída"))</f>
        <v/>
      </c>
      <c r="G39" s="67">
        <f>IF(A39="","",D39+E39-F39)</f>
        <v/>
      </c>
      <c r="H39" s="67">
        <f>IF(A39="","",'Produtos'!G39)</f>
        <v/>
      </c>
      <c r="I39" s="67">
        <f>IF(A39="","",'Produtos'!H39)</f>
        <v/>
      </c>
      <c r="J39" s="70">
        <f>IF(A39="","",'Produtos'!E39)</f>
        <v/>
      </c>
      <c r="K39" s="70">
        <f>IF(A39="","",G39*J39)</f>
        <v/>
      </c>
      <c r="L39" s="69">
        <f>IF(A39="","",IF(G39&lt;=0,"CRÍTICO",IF(G39&lt;=H39,"REPOR","OK")))</f>
        <v/>
      </c>
      <c r="M39" s="67">
        <f>IF(A39="","",IF(L39="OK",0,MAX(0,I39-G39)))</f>
        <v/>
      </c>
      <c r="N39" s="71">
        <f>IF(A39="","",IF(H39&gt;0,G39/H39,99))</f>
        <v/>
      </c>
      <c r="O39" s="68">
        <f>IF(A39="","",IF(L39="OK","",N39+ROW()/100000))</f>
        <v/>
      </c>
    </row>
    <row r="40">
      <c r="A40" s="69">
        <f>IF('Produtos'!A40="","",'Produtos'!A40)</f>
        <v/>
      </c>
      <c r="B40" s="66">
        <f>IF(A40="","",'Produtos'!B40)</f>
        <v/>
      </c>
      <c r="C40" s="66">
        <f>IF(A40="","",'Produtos'!C40)</f>
        <v/>
      </c>
      <c r="D40" s="67">
        <f>IF(A40="","",'Produtos'!F40)</f>
        <v/>
      </c>
      <c r="E40" s="67">
        <f>IF(A40="","",SUMIFS('Movimentações'!$F$5:$F$1004,'Movimentações'!$C$5:$C$1004,A40,'Movimentações'!$E$5:$E$1004,"Entrada"))</f>
        <v/>
      </c>
      <c r="F40" s="67">
        <f>IF(A40="","",SUMIFS('Movimentações'!$F$5:$F$1004,'Movimentações'!$C$5:$C$1004,A40,'Movimentações'!$E$5:$E$1004,"Saída"))</f>
        <v/>
      </c>
      <c r="G40" s="67">
        <f>IF(A40="","",D40+E40-F40)</f>
        <v/>
      </c>
      <c r="H40" s="67">
        <f>IF(A40="","",'Produtos'!G40)</f>
        <v/>
      </c>
      <c r="I40" s="67">
        <f>IF(A40="","",'Produtos'!H40)</f>
        <v/>
      </c>
      <c r="J40" s="70">
        <f>IF(A40="","",'Produtos'!E40)</f>
        <v/>
      </c>
      <c r="K40" s="70">
        <f>IF(A40="","",G40*J40)</f>
        <v/>
      </c>
      <c r="L40" s="69">
        <f>IF(A40="","",IF(G40&lt;=0,"CRÍTICO",IF(G40&lt;=H40,"REPOR","OK")))</f>
        <v/>
      </c>
      <c r="M40" s="67">
        <f>IF(A40="","",IF(L40="OK",0,MAX(0,I40-G40)))</f>
        <v/>
      </c>
      <c r="N40" s="71">
        <f>IF(A40="","",IF(H40&gt;0,G40/H40,99))</f>
        <v/>
      </c>
      <c r="O40" s="68">
        <f>IF(A40="","",IF(L40="OK","",N40+ROW()/100000))</f>
        <v/>
      </c>
    </row>
    <row r="41">
      <c r="A41" s="69">
        <f>IF('Produtos'!A41="","",'Produtos'!A41)</f>
        <v/>
      </c>
      <c r="B41" s="66">
        <f>IF(A41="","",'Produtos'!B41)</f>
        <v/>
      </c>
      <c r="C41" s="66">
        <f>IF(A41="","",'Produtos'!C41)</f>
        <v/>
      </c>
      <c r="D41" s="67">
        <f>IF(A41="","",'Produtos'!F41)</f>
        <v/>
      </c>
      <c r="E41" s="67">
        <f>IF(A41="","",SUMIFS('Movimentações'!$F$5:$F$1004,'Movimentações'!$C$5:$C$1004,A41,'Movimentações'!$E$5:$E$1004,"Entrada"))</f>
        <v/>
      </c>
      <c r="F41" s="67">
        <f>IF(A41="","",SUMIFS('Movimentações'!$F$5:$F$1004,'Movimentações'!$C$5:$C$1004,A41,'Movimentações'!$E$5:$E$1004,"Saída"))</f>
        <v/>
      </c>
      <c r="G41" s="67">
        <f>IF(A41="","",D41+E41-F41)</f>
        <v/>
      </c>
      <c r="H41" s="67">
        <f>IF(A41="","",'Produtos'!G41)</f>
        <v/>
      </c>
      <c r="I41" s="67">
        <f>IF(A41="","",'Produtos'!H41)</f>
        <v/>
      </c>
      <c r="J41" s="70">
        <f>IF(A41="","",'Produtos'!E41)</f>
        <v/>
      </c>
      <c r="K41" s="70">
        <f>IF(A41="","",G41*J41)</f>
        <v/>
      </c>
      <c r="L41" s="69">
        <f>IF(A41="","",IF(G41&lt;=0,"CRÍTICO",IF(G41&lt;=H41,"REPOR","OK")))</f>
        <v/>
      </c>
      <c r="M41" s="67">
        <f>IF(A41="","",IF(L41="OK",0,MAX(0,I41-G41)))</f>
        <v/>
      </c>
      <c r="N41" s="71">
        <f>IF(A41="","",IF(H41&gt;0,G41/H41,99))</f>
        <v/>
      </c>
      <c r="O41" s="68">
        <f>IF(A41="","",IF(L41="OK","",N41+ROW()/100000))</f>
        <v/>
      </c>
    </row>
    <row r="42">
      <c r="A42" s="69">
        <f>IF('Produtos'!A42="","",'Produtos'!A42)</f>
        <v/>
      </c>
      <c r="B42" s="66">
        <f>IF(A42="","",'Produtos'!B42)</f>
        <v/>
      </c>
      <c r="C42" s="66">
        <f>IF(A42="","",'Produtos'!C42)</f>
        <v/>
      </c>
      <c r="D42" s="67">
        <f>IF(A42="","",'Produtos'!F42)</f>
        <v/>
      </c>
      <c r="E42" s="67">
        <f>IF(A42="","",SUMIFS('Movimentações'!$F$5:$F$1004,'Movimentações'!$C$5:$C$1004,A42,'Movimentações'!$E$5:$E$1004,"Entrada"))</f>
        <v/>
      </c>
      <c r="F42" s="67">
        <f>IF(A42="","",SUMIFS('Movimentações'!$F$5:$F$1004,'Movimentações'!$C$5:$C$1004,A42,'Movimentações'!$E$5:$E$1004,"Saída"))</f>
        <v/>
      </c>
      <c r="G42" s="67">
        <f>IF(A42="","",D42+E42-F42)</f>
        <v/>
      </c>
      <c r="H42" s="67">
        <f>IF(A42="","",'Produtos'!G42)</f>
        <v/>
      </c>
      <c r="I42" s="67">
        <f>IF(A42="","",'Produtos'!H42)</f>
        <v/>
      </c>
      <c r="J42" s="70">
        <f>IF(A42="","",'Produtos'!E42)</f>
        <v/>
      </c>
      <c r="K42" s="70">
        <f>IF(A42="","",G42*J42)</f>
        <v/>
      </c>
      <c r="L42" s="69">
        <f>IF(A42="","",IF(G42&lt;=0,"CRÍTICO",IF(G42&lt;=H42,"REPOR","OK")))</f>
        <v/>
      </c>
      <c r="M42" s="67">
        <f>IF(A42="","",IF(L42="OK",0,MAX(0,I42-G42)))</f>
        <v/>
      </c>
      <c r="N42" s="71">
        <f>IF(A42="","",IF(H42&gt;0,G42/H42,99))</f>
        <v/>
      </c>
      <c r="O42" s="68">
        <f>IF(A42="","",IF(L42="OK","",N42+ROW()/100000))</f>
        <v/>
      </c>
    </row>
    <row r="43">
      <c r="A43" s="69">
        <f>IF('Produtos'!A43="","",'Produtos'!A43)</f>
        <v/>
      </c>
      <c r="B43" s="66">
        <f>IF(A43="","",'Produtos'!B43)</f>
        <v/>
      </c>
      <c r="C43" s="66">
        <f>IF(A43="","",'Produtos'!C43)</f>
        <v/>
      </c>
      <c r="D43" s="67">
        <f>IF(A43="","",'Produtos'!F43)</f>
        <v/>
      </c>
      <c r="E43" s="67">
        <f>IF(A43="","",SUMIFS('Movimentações'!$F$5:$F$1004,'Movimentações'!$C$5:$C$1004,A43,'Movimentações'!$E$5:$E$1004,"Entrada"))</f>
        <v/>
      </c>
      <c r="F43" s="67">
        <f>IF(A43="","",SUMIFS('Movimentações'!$F$5:$F$1004,'Movimentações'!$C$5:$C$1004,A43,'Movimentações'!$E$5:$E$1004,"Saída"))</f>
        <v/>
      </c>
      <c r="G43" s="67">
        <f>IF(A43="","",D43+E43-F43)</f>
        <v/>
      </c>
      <c r="H43" s="67">
        <f>IF(A43="","",'Produtos'!G43)</f>
        <v/>
      </c>
      <c r="I43" s="67">
        <f>IF(A43="","",'Produtos'!H43)</f>
        <v/>
      </c>
      <c r="J43" s="70">
        <f>IF(A43="","",'Produtos'!E43)</f>
        <v/>
      </c>
      <c r="K43" s="70">
        <f>IF(A43="","",G43*J43)</f>
        <v/>
      </c>
      <c r="L43" s="69">
        <f>IF(A43="","",IF(G43&lt;=0,"CRÍTICO",IF(G43&lt;=H43,"REPOR","OK")))</f>
        <v/>
      </c>
      <c r="M43" s="67">
        <f>IF(A43="","",IF(L43="OK",0,MAX(0,I43-G43)))</f>
        <v/>
      </c>
      <c r="N43" s="71">
        <f>IF(A43="","",IF(H43&gt;0,G43/H43,99))</f>
        <v/>
      </c>
      <c r="O43" s="68">
        <f>IF(A43="","",IF(L43="OK","",N43+ROW()/100000))</f>
        <v/>
      </c>
    </row>
    <row r="44">
      <c r="A44" s="69">
        <f>IF('Produtos'!A44="","",'Produtos'!A44)</f>
        <v/>
      </c>
      <c r="B44" s="66">
        <f>IF(A44="","",'Produtos'!B44)</f>
        <v/>
      </c>
      <c r="C44" s="66">
        <f>IF(A44="","",'Produtos'!C44)</f>
        <v/>
      </c>
      <c r="D44" s="67">
        <f>IF(A44="","",'Produtos'!F44)</f>
        <v/>
      </c>
      <c r="E44" s="67">
        <f>IF(A44="","",SUMIFS('Movimentações'!$F$5:$F$1004,'Movimentações'!$C$5:$C$1004,A44,'Movimentações'!$E$5:$E$1004,"Entrada"))</f>
        <v/>
      </c>
      <c r="F44" s="67">
        <f>IF(A44="","",SUMIFS('Movimentações'!$F$5:$F$1004,'Movimentações'!$C$5:$C$1004,A44,'Movimentações'!$E$5:$E$1004,"Saída"))</f>
        <v/>
      </c>
      <c r="G44" s="67">
        <f>IF(A44="","",D44+E44-F44)</f>
        <v/>
      </c>
      <c r="H44" s="67">
        <f>IF(A44="","",'Produtos'!G44)</f>
        <v/>
      </c>
      <c r="I44" s="67">
        <f>IF(A44="","",'Produtos'!H44)</f>
        <v/>
      </c>
      <c r="J44" s="70">
        <f>IF(A44="","",'Produtos'!E44)</f>
        <v/>
      </c>
      <c r="K44" s="70">
        <f>IF(A44="","",G44*J44)</f>
        <v/>
      </c>
      <c r="L44" s="69">
        <f>IF(A44="","",IF(G44&lt;=0,"CRÍTICO",IF(G44&lt;=H44,"REPOR","OK")))</f>
        <v/>
      </c>
      <c r="M44" s="67">
        <f>IF(A44="","",IF(L44="OK",0,MAX(0,I44-G44)))</f>
        <v/>
      </c>
      <c r="N44" s="71">
        <f>IF(A44="","",IF(H44&gt;0,G44/H44,99))</f>
        <v/>
      </c>
      <c r="O44" s="68">
        <f>IF(A44="","",IF(L44="OK","",N44+ROW()/100000))</f>
        <v/>
      </c>
    </row>
    <row r="45">
      <c r="A45" s="69">
        <f>IF('Produtos'!A45="","",'Produtos'!A45)</f>
        <v/>
      </c>
      <c r="B45" s="66">
        <f>IF(A45="","",'Produtos'!B45)</f>
        <v/>
      </c>
      <c r="C45" s="66">
        <f>IF(A45="","",'Produtos'!C45)</f>
        <v/>
      </c>
      <c r="D45" s="67">
        <f>IF(A45="","",'Produtos'!F45)</f>
        <v/>
      </c>
      <c r="E45" s="67">
        <f>IF(A45="","",SUMIFS('Movimentações'!$F$5:$F$1004,'Movimentações'!$C$5:$C$1004,A45,'Movimentações'!$E$5:$E$1004,"Entrada"))</f>
        <v/>
      </c>
      <c r="F45" s="67">
        <f>IF(A45="","",SUMIFS('Movimentações'!$F$5:$F$1004,'Movimentações'!$C$5:$C$1004,A45,'Movimentações'!$E$5:$E$1004,"Saída"))</f>
        <v/>
      </c>
      <c r="G45" s="67">
        <f>IF(A45="","",D45+E45-F45)</f>
        <v/>
      </c>
      <c r="H45" s="67">
        <f>IF(A45="","",'Produtos'!G45)</f>
        <v/>
      </c>
      <c r="I45" s="67">
        <f>IF(A45="","",'Produtos'!H45)</f>
        <v/>
      </c>
      <c r="J45" s="70">
        <f>IF(A45="","",'Produtos'!E45)</f>
        <v/>
      </c>
      <c r="K45" s="70">
        <f>IF(A45="","",G45*J45)</f>
        <v/>
      </c>
      <c r="L45" s="69">
        <f>IF(A45="","",IF(G45&lt;=0,"CRÍTICO",IF(G45&lt;=H45,"REPOR","OK")))</f>
        <v/>
      </c>
      <c r="M45" s="67">
        <f>IF(A45="","",IF(L45="OK",0,MAX(0,I45-G45)))</f>
        <v/>
      </c>
      <c r="N45" s="71">
        <f>IF(A45="","",IF(H45&gt;0,G45/H45,99))</f>
        <v/>
      </c>
      <c r="O45" s="68">
        <f>IF(A45="","",IF(L45="OK","",N45+ROW()/100000))</f>
        <v/>
      </c>
    </row>
    <row r="46">
      <c r="A46" s="69">
        <f>IF('Produtos'!A46="","",'Produtos'!A46)</f>
        <v/>
      </c>
      <c r="B46" s="66">
        <f>IF(A46="","",'Produtos'!B46)</f>
        <v/>
      </c>
      <c r="C46" s="66">
        <f>IF(A46="","",'Produtos'!C46)</f>
        <v/>
      </c>
      <c r="D46" s="67">
        <f>IF(A46="","",'Produtos'!F46)</f>
        <v/>
      </c>
      <c r="E46" s="67">
        <f>IF(A46="","",SUMIFS('Movimentações'!$F$5:$F$1004,'Movimentações'!$C$5:$C$1004,A46,'Movimentações'!$E$5:$E$1004,"Entrada"))</f>
        <v/>
      </c>
      <c r="F46" s="67">
        <f>IF(A46="","",SUMIFS('Movimentações'!$F$5:$F$1004,'Movimentações'!$C$5:$C$1004,A46,'Movimentações'!$E$5:$E$1004,"Saída"))</f>
        <v/>
      </c>
      <c r="G46" s="67">
        <f>IF(A46="","",D46+E46-F46)</f>
        <v/>
      </c>
      <c r="H46" s="67">
        <f>IF(A46="","",'Produtos'!G46)</f>
        <v/>
      </c>
      <c r="I46" s="67">
        <f>IF(A46="","",'Produtos'!H46)</f>
        <v/>
      </c>
      <c r="J46" s="70">
        <f>IF(A46="","",'Produtos'!E46)</f>
        <v/>
      </c>
      <c r="K46" s="70">
        <f>IF(A46="","",G46*J46)</f>
        <v/>
      </c>
      <c r="L46" s="69">
        <f>IF(A46="","",IF(G46&lt;=0,"CRÍTICO",IF(G46&lt;=H46,"REPOR","OK")))</f>
        <v/>
      </c>
      <c r="M46" s="67">
        <f>IF(A46="","",IF(L46="OK",0,MAX(0,I46-G46)))</f>
        <v/>
      </c>
      <c r="N46" s="71">
        <f>IF(A46="","",IF(H46&gt;0,G46/H46,99))</f>
        <v/>
      </c>
      <c r="O46" s="68">
        <f>IF(A46="","",IF(L46="OK","",N46+ROW()/100000))</f>
        <v/>
      </c>
    </row>
    <row r="47">
      <c r="A47" s="69">
        <f>IF('Produtos'!A47="","",'Produtos'!A47)</f>
        <v/>
      </c>
      <c r="B47" s="66">
        <f>IF(A47="","",'Produtos'!B47)</f>
        <v/>
      </c>
      <c r="C47" s="66">
        <f>IF(A47="","",'Produtos'!C47)</f>
        <v/>
      </c>
      <c r="D47" s="67">
        <f>IF(A47="","",'Produtos'!F47)</f>
        <v/>
      </c>
      <c r="E47" s="67">
        <f>IF(A47="","",SUMIFS('Movimentações'!$F$5:$F$1004,'Movimentações'!$C$5:$C$1004,A47,'Movimentações'!$E$5:$E$1004,"Entrada"))</f>
        <v/>
      </c>
      <c r="F47" s="67">
        <f>IF(A47="","",SUMIFS('Movimentações'!$F$5:$F$1004,'Movimentações'!$C$5:$C$1004,A47,'Movimentações'!$E$5:$E$1004,"Saída"))</f>
        <v/>
      </c>
      <c r="G47" s="67">
        <f>IF(A47="","",D47+E47-F47)</f>
        <v/>
      </c>
      <c r="H47" s="67">
        <f>IF(A47="","",'Produtos'!G47)</f>
        <v/>
      </c>
      <c r="I47" s="67">
        <f>IF(A47="","",'Produtos'!H47)</f>
        <v/>
      </c>
      <c r="J47" s="70">
        <f>IF(A47="","",'Produtos'!E47)</f>
        <v/>
      </c>
      <c r="K47" s="70">
        <f>IF(A47="","",G47*J47)</f>
        <v/>
      </c>
      <c r="L47" s="69">
        <f>IF(A47="","",IF(G47&lt;=0,"CRÍTICO",IF(G47&lt;=H47,"REPOR","OK")))</f>
        <v/>
      </c>
      <c r="M47" s="67">
        <f>IF(A47="","",IF(L47="OK",0,MAX(0,I47-G47)))</f>
        <v/>
      </c>
      <c r="N47" s="71">
        <f>IF(A47="","",IF(H47&gt;0,G47/H47,99))</f>
        <v/>
      </c>
      <c r="O47" s="68">
        <f>IF(A47="","",IF(L47="OK","",N47+ROW()/100000))</f>
        <v/>
      </c>
    </row>
    <row r="48">
      <c r="A48" s="69">
        <f>IF('Produtos'!A48="","",'Produtos'!A48)</f>
        <v/>
      </c>
      <c r="B48" s="66">
        <f>IF(A48="","",'Produtos'!B48)</f>
        <v/>
      </c>
      <c r="C48" s="66">
        <f>IF(A48="","",'Produtos'!C48)</f>
        <v/>
      </c>
      <c r="D48" s="67">
        <f>IF(A48="","",'Produtos'!F48)</f>
        <v/>
      </c>
      <c r="E48" s="67">
        <f>IF(A48="","",SUMIFS('Movimentações'!$F$5:$F$1004,'Movimentações'!$C$5:$C$1004,A48,'Movimentações'!$E$5:$E$1004,"Entrada"))</f>
        <v/>
      </c>
      <c r="F48" s="67">
        <f>IF(A48="","",SUMIFS('Movimentações'!$F$5:$F$1004,'Movimentações'!$C$5:$C$1004,A48,'Movimentações'!$E$5:$E$1004,"Saída"))</f>
        <v/>
      </c>
      <c r="G48" s="67">
        <f>IF(A48="","",D48+E48-F48)</f>
        <v/>
      </c>
      <c r="H48" s="67">
        <f>IF(A48="","",'Produtos'!G48)</f>
        <v/>
      </c>
      <c r="I48" s="67">
        <f>IF(A48="","",'Produtos'!H48)</f>
        <v/>
      </c>
      <c r="J48" s="70">
        <f>IF(A48="","",'Produtos'!E48)</f>
        <v/>
      </c>
      <c r="K48" s="70">
        <f>IF(A48="","",G48*J48)</f>
        <v/>
      </c>
      <c r="L48" s="69">
        <f>IF(A48="","",IF(G48&lt;=0,"CRÍTICO",IF(G48&lt;=H48,"REPOR","OK")))</f>
        <v/>
      </c>
      <c r="M48" s="67">
        <f>IF(A48="","",IF(L48="OK",0,MAX(0,I48-G48)))</f>
        <v/>
      </c>
      <c r="N48" s="71">
        <f>IF(A48="","",IF(H48&gt;0,G48/H48,99))</f>
        <v/>
      </c>
      <c r="O48" s="68">
        <f>IF(A48="","",IF(L48="OK","",N48+ROW()/100000))</f>
        <v/>
      </c>
    </row>
    <row r="49">
      <c r="A49" s="69">
        <f>IF('Produtos'!A49="","",'Produtos'!A49)</f>
        <v/>
      </c>
      <c r="B49" s="66">
        <f>IF(A49="","",'Produtos'!B49)</f>
        <v/>
      </c>
      <c r="C49" s="66">
        <f>IF(A49="","",'Produtos'!C49)</f>
        <v/>
      </c>
      <c r="D49" s="67">
        <f>IF(A49="","",'Produtos'!F49)</f>
        <v/>
      </c>
      <c r="E49" s="67">
        <f>IF(A49="","",SUMIFS('Movimentações'!$F$5:$F$1004,'Movimentações'!$C$5:$C$1004,A49,'Movimentações'!$E$5:$E$1004,"Entrada"))</f>
        <v/>
      </c>
      <c r="F49" s="67">
        <f>IF(A49="","",SUMIFS('Movimentações'!$F$5:$F$1004,'Movimentações'!$C$5:$C$1004,A49,'Movimentações'!$E$5:$E$1004,"Saída"))</f>
        <v/>
      </c>
      <c r="G49" s="67">
        <f>IF(A49="","",D49+E49-F49)</f>
        <v/>
      </c>
      <c r="H49" s="67">
        <f>IF(A49="","",'Produtos'!G49)</f>
        <v/>
      </c>
      <c r="I49" s="67">
        <f>IF(A49="","",'Produtos'!H49)</f>
        <v/>
      </c>
      <c r="J49" s="70">
        <f>IF(A49="","",'Produtos'!E49)</f>
        <v/>
      </c>
      <c r="K49" s="70">
        <f>IF(A49="","",G49*J49)</f>
        <v/>
      </c>
      <c r="L49" s="69">
        <f>IF(A49="","",IF(G49&lt;=0,"CRÍTICO",IF(G49&lt;=H49,"REPOR","OK")))</f>
        <v/>
      </c>
      <c r="M49" s="67">
        <f>IF(A49="","",IF(L49="OK",0,MAX(0,I49-G49)))</f>
        <v/>
      </c>
      <c r="N49" s="71">
        <f>IF(A49="","",IF(H49&gt;0,G49/H49,99))</f>
        <v/>
      </c>
      <c r="O49" s="68">
        <f>IF(A49="","",IF(L49="OK","",N49+ROW()/100000))</f>
        <v/>
      </c>
    </row>
    <row r="50">
      <c r="A50" s="69">
        <f>IF('Produtos'!A50="","",'Produtos'!A50)</f>
        <v/>
      </c>
      <c r="B50" s="66">
        <f>IF(A50="","",'Produtos'!B50)</f>
        <v/>
      </c>
      <c r="C50" s="66">
        <f>IF(A50="","",'Produtos'!C50)</f>
        <v/>
      </c>
      <c r="D50" s="67">
        <f>IF(A50="","",'Produtos'!F50)</f>
        <v/>
      </c>
      <c r="E50" s="67">
        <f>IF(A50="","",SUMIFS('Movimentações'!$F$5:$F$1004,'Movimentações'!$C$5:$C$1004,A50,'Movimentações'!$E$5:$E$1004,"Entrada"))</f>
        <v/>
      </c>
      <c r="F50" s="67">
        <f>IF(A50="","",SUMIFS('Movimentações'!$F$5:$F$1004,'Movimentações'!$C$5:$C$1004,A50,'Movimentações'!$E$5:$E$1004,"Saída"))</f>
        <v/>
      </c>
      <c r="G50" s="67">
        <f>IF(A50="","",D50+E50-F50)</f>
        <v/>
      </c>
      <c r="H50" s="67">
        <f>IF(A50="","",'Produtos'!G50)</f>
        <v/>
      </c>
      <c r="I50" s="67">
        <f>IF(A50="","",'Produtos'!H50)</f>
        <v/>
      </c>
      <c r="J50" s="70">
        <f>IF(A50="","",'Produtos'!E50)</f>
        <v/>
      </c>
      <c r="K50" s="70">
        <f>IF(A50="","",G50*J50)</f>
        <v/>
      </c>
      <c r="L50" s="69">
        <f>IF(A50="","",IF(G50&lt;=0,"CRÍTICO",IF(G50&lt;=H50,"REPOR","OK")))</f>
        <v/>
      </c>
      <c r="M50" s="67">
        <f>IF(A50="","",IF(L50="OK",0,MAX(0,I50-G50)))</f>
        <v/>
      </c>
      <c r="N50" s="71">
        <f>IF(A50="","",IF(H50&gt;0,G50/H50,99))</f>
        <v/>
      </c>
      <c r="O50" s="68">
        <f>IF(A50="","",IF(L50="OK","",N50+ROW()/100000))</f>
        <v/>
      </c>
    </row>
    <row r="51">
      <c r="A51" s="69">
        <f>IF('Produtos'!A51="","",'Produtos'!A51)</f>
        <v/>
      </c>
      <c r="B51" s="66">
        <f>IF(A51="","",'Produtos'!B51)</f>
        <v/>
      </c>
      <c r="C51" s="66">
        <f>IF(A51="","",'Produtos'!C51)</f>
        <v/>
      </c>
      <c r="D51" s="67">
        <f>IF(A51="","",'Produtos'!F51)</f>
        <v/>
      </c>
      <c r="E51" s="67">
        <f>IF(A51="","",SUMIFS('Movimentações'!$F$5:$F$1004,'Movimentações'!$C$5:$C$1004,A51,'Movimentações'!$E$5:$E$1004,"Entrada"))</f>
        <v/>
      </c>
      <c r="F51" s="67">
        <f>IF(A51="","",SUMIFS('Movimentações'!$F$5:$F$1004,'Movimentações'!$C$5:$C$1004,A51,'Movimentações'!$E$5:$E$1004,"Saída"))</f>
        <v/>
      </c>
      <c r="G51" s="67">
        <f>IF(A51="","",D51+E51-F51)</f>
        <v/>
      </c>
      <c r="H51" s="67">
        <f>IF(A51="","",'Produtos'!G51)</f>
        <v/>
      </c>
      <c r="I51" s="67">
        <f>IF(A51="","",'Produtos'!H51)</f>
        <v/>
      </c>
      <c r="J51" s="70">
        <f>IF(A51="","",'Produtos'!E51)</f>
        <v/>
      </c>
      <c r="K51" s="70">
        <f>IF(A51="","",G51*J51)</f>
        <v/>
      </c>
      <c r="L51" s="69">
        <f>IF(A51="","",IF(G51&lt;=0,"CRÍTICO",IF(G51&lt;=H51,"REPOR","OK")))</f>
        <v/>
      </c>
      <c r="M51" s="67">
        <f>IF(A51="","",IF(L51="OK",0,MAX(0,I51-G51)))</f>
        <v/>
      </c>
      <c r="N51" s="71">
        <f>IF(A51="","",IF(H51&gt;0,G51/H51,99))</f>
        <v/>
      </c>
      <c r="O51" s="68">
        <f>IF(A51="","",IF(L51="OK","",N51+ROW()/100000))</f>
        <v/>
      </c>
    </row>
    <row r="52">
      <c r="A52" s="69">
        <f>IF('Produtos'!A52="","",'Produtos'!A52)</f>
        <v/>
      </c>
      <c r="B52" s="66">
        <f>IF(A52="","",'Produtos'!B52)</f>
        <v/>
      </c>
      <c r="C52" s="66">
        <f>IF(A52="","",'Produtos'!C52)</f>
        <v/>
      </c>
      <c r="D52" s="67">
        <f>IF(A52="","",'Produtos'!F52)</f>
        <v/>
      </c>
      <c r="E52" s="67">
        <f>IF(A52="","",SUMIFS('Movimentações'!$F$5:$F$1004,'Movimentações'!$C$5:$C$1004,A52,'Movimentações'!$E$5:$E$1004,"Entrada"))</f>
        <v/>
      </c>
      <c r="F52" s="67">
        <f>IF(A52="","",SUMIFS('Movimentações'!$F$5:$F$1004,'Movimentações'!$C$5:$C$1004,A52,'Movimentações'!$E$5:$E$1004,"Saída"))</f>
        <v/>
      </c>
      <c r="G52" s="67">
        <f>IF(A52="","",D52+E52-F52)</f>
        <v/>
      </c>
      <c r="H52" s="67">
        <f>IF(A52="","",'Produtos'!G52)</f>
        <v/>
      </c>
      <c r="I52" s="67">
        <f>IF(A52="","",'Produtos'!H52)</f>
        <v/>
      </c>
      <c r="J52" s="70">
        <f>IF(A52="","",'Produtos'!E52)</f>
        <v/>
      </c>
      <c r="K52" s="70">
        <f>IF(A52="","",G52*J52)</f>
        <v/>
      </c>
      <c r="L52" s="69">
        <f>IF(A52="","",IF(G52&lt;=0,"CRÍTICO",IF(G52&lt;=H52,"REPOR","OK")))</f>
        <v/>
      </c>
      <c r="M52" s="67">
        <f>IF(A52="","",IF(L52="OK",0,MAX(0,I52-G52)))</f>
        <v/>
      </c>
      <c r="N52" s="71">
        <f>IF(A52="","",IF(H52&gt;0,G52/H52,99))</f>
        <v/>
      </c>
      <c r="O52" s="68">
        <f>IF(A52="","",IF(L52="OK","",N52+ROW()/100000))</f>
        <v/>
      </c>
    </row>
    <row r="53">
      <c r="A53" s="69">
        <f>IF('Produtos'!A53="","",'Produtos'!A53)</f>
        <v/>
      </c>
      <c r="B53" s="66">
        <f>IF(A53="","",'Produtos'!B53)</f>
        <v/>
      </c>
      <c r="C53" s="66">
        <f>IF(A53="","",'Produtos'!C53)</f>
        <v/>
      </c>
      <c r="D53" s="67">
        <f>IF(A53="","",'Produtos'!F53)</f>
        <v/>
      </c>
      <c r="E53" s="67">
        <f>IF(A53="","",SUMIFS('Movimentações'!$F$5:$F$1004,'Movimentações'!$C$5:$C$1004,A53,'Movimentações'!$E$5:$E$1004,"Entrada"))</f>
        <v/>
      </c>
      <c r="F53" s="67">
        <f>IF(A53="","",SUMIFS('Movimentações'!$F$5:$F$1004,'Movimentações'!$C$5:$C$1004,A53,'Movimentações'!$E$5:$E$1004,"Saída"))</f>
        <v/>
      </c>
      <c r="G53" s="67">
        <f>IF(A53="","",D53+E53-F53)</f>
        <v/>
      </c>
      <c r="H53" s="67">
        <f>IF(A53="","",'Produtos'!G53)</f>
        <v/>
      </c>
      <c r="I53" s="67">
        <f>IF(A53="","",'Produtos'!H53)</f>
        <v/>
      </c>
      <c r="J53" s="70">
        <f>IF(A53="","",'Produtos'!E53)</f>
        <v/>
      </c>
      <c r="K53" s="70">
        <f>IF(A53="","",G53*J53)</f>
        <v/>
      </c>
      <c r="L53" s="69">
        <f>IF(A53="","",IF(G53&lt;=0,"CRÍTICO",IF(G53&lt;=H53,"REPOR","OK")))</f>
        <v/>
      </c>
      <c r="M53" s="67">
        <f>IF(A53="","",IF(L53="OK",0,MAX(0,I53-G53)))</f>
        <v/>
      </c>
      <c r="N53" s="71">
        <f>IF(A53="","",IF(H53&gt;0,G53/H53,99))</f>
        <v/>
      </c>
      <c r="O53" s="68">
        <f>IF(A53="","",IF(L53="OK","",N53+ROW()/100000))</f>
        <v/>
      </c>
    </row>
    <row r="54">
      <c r="A54" s="69">
        <f>IF('Produtos'!A54="","",'Produtos'!A54)</f>
        <v/>
      </c>
      <c r="B54" s="66">
        <f>IF(A54="","",'Produtos'!B54)</f>
        <v/>
      </c>
      <c r="C54" s="66">
        <f>IF(A54="","",'Produtos'!C54)</f>
        <v/>
      </c>
      <c r="D54" s="67">
        <f>IF(A54="","",'Produtos'!F54)</f>
        <v/>
      </c>
      <c r="E54" s="67">
        <f>IF(A54="","",SUMIFS('Movimentações'!$F$5:$F$1004,'Movimentações'!$C$5:$C$1004,A54,'Movimentações'!$E$5:$E$1004,"Entrada"))</f>
        <v/>
      </c>
      <c r="F54" s="67">
        <f>IF(A54="","",SUMIFS('Movimentações'!$F$5:$F$1004,'Movimentações'!$C$5:$C$1004,A54,'Movimentações'!$E$5:$E$1004,"Saída"))</f>
        <v/>
      </c>
      <c r="G54" s="67">
        <f>IF(A54="","",D54+E54-F54)</f>
        <v/>
      </c>
      <c r="H54" s="67">
        <f>IF(A54="","",'Produtos'!G54)</f>
        <v/>
      </c>
      <c r="I54" s="67">
        <f>IF(A54="","",'Produtos'!H54)</f>
        <v/>
      </c>
      <c r="J54" s="70">
        <f>IF(A54="","",'Produtos'!E54)</f>
        <v/>
      </c>
      <c r="K54" s="70">
        <f>IF(A54="","",G54*J54)</f>
        <v/>
      </c>
      <c r="L54" s="69">
        <f>IF(A54="","",IF(G54&lt;=0,"CRÍTICO",IF(G54&lt;=H54,"REPOR","OK")))</f>
        <v/>
      </c>
      <c r="M54" s="67">
        <f>IF(A54="","",IF(L54="OK",0,MAX(0,I54-G54)))</f>
        <v/>
      </c>
      <c r="N54" s="71">
        <f>IF(A54="","",IF(H54&gt;0,G54/H54,99))</f>
        <v/>
      </c>
      <c r="O54" s="68">
        <f>IF(A54="","",IF(L54="OK","",N54+ROW()/100000))</f>
        <v/>
      </c>
    </row>
    <row r="55">
      <c r="A55" s="69">
        <f>IF('Produtos'!A55="","",'Produtos'!A55)</f>
        <v/>
      </c>
      <c r="B55" s="66">
        <f>IF(A55="","",'Produtos'!B55)</f>
        <v/>
      </c>
      <c r="C55" s="66">
        <f>IF(A55="","",'Produtos'!C55)</f>
        <v/>
      </c>
      <c r="D55" s="67">
        <f>IF(A55="","",'Produtos'!F55)</f>
        <v/>
      </c>
      <c r="E55" s="67">
        <f>IF(A55="","",SUMIFS('Movimentações'!$F$5:$F$1004,'Movimentações'!$C$5:$C$1004,A55,'Movimentações'!$E$5:$E$1004,"Entrada"))</f>
        <v/>
      </c>
      <c r="F55" s="67">
        <f>IF(A55="","",SUMIFS('Movimentações'!$F$5:$F$1004,'Movimentações'!$C$5:$C$1004,A55,'Movimentações'!$E$5:$E$1004,"Saída"))</f>
        <v/>
      </c>
      <c r="G55" s="67">
        <f>IF(A55="","",D55+E55-F55)</f>
        <v/>
      </c>
      <c r="H55" s="67">
        <f>IF(A55="","",'Produtos'!G55)</f>
        <v/>
      </c>
      <c r="I55" s="67">
        <f>IF(A55="","",'Produtos'!H55)</f>
        <v/>
      </c>
      <c r="J55" s="70">
        <f>IF(A55="","",'Produtos'!E55)</f>
        <v/>
      </c>
      <c r="K55" s="70">
        <f>IF(A55="","",G55*J55)</f>
        <v/>
      </c>
      <c r="L55" s="69">
        <f>IF(A55="","",IF(G55&lt;=0,"CRÍTICO",IF(G55&lt;=H55,"REPOR","OK")))</f>
        <v/>
      </c>
      <c r="M55" s="67">
        <f>IF(A55="","",IF(L55="OK",0,MAX(0,I55-G55)))</f>
        <v/>
      </c>
      <c r="N55" s="71">
        <f>IF(A55="","",IF(H55&gt;0,G55/H55,99))</f>
        <v/>
      </c>
      <c r="O55" s="68">
        <f>IF(A55="","",IF(L55="OK","",N55+ROW()/100000))</f>
        <v/>
      </c>
    </row>
    <row r="56">
      <c r="A56" s="69">
        <f>IF('Produtos'!A56="","",'Produtos'!A56)</f>
        <v/>
      </c>
      <c r="B56" s="66">
        <f>IF(A56="","",'Produtos'!B56)</f>
        <v/>
      </c>
      <c r="C56" s="66">
        <f>IF(A56="","",'Produtos'!C56)</f>
        <v/>
      </c>
      <c r="D56" s="67">
        <f>IF(A56="","",'Produtos'!F56)</f>
        <v/>
      </c>
      <c r="E56" s="67">
        <f>IF(A56="","",SUMIFS('Movimentações'!$F$5:$F$1004,'Movimentações'!$C$5:$C$1004,A56,'Movimentações'!$E$5:$E$1004,"Entrada"))</f>
        <v/>
      </c>
      <c r="F56" s="67">
        <f>IF(A56="","",SUMIFS('Movimentações'!$F$5:$F$1004,'Movimentações'!$C$5:$C$1004,A56,'Movimentações'!$E$5:$E$1004,"Saída"))</f>
        <v/>
      </c>
      <c r="G56" s="67">
        <f>IF(A56="","",D56+E56-F56)</f>
        <v/>
      </c>
      <c r="H56" s="67">
        <f>IF(A56="","",'Produtos'!G56)</f>
        <v/>
      </c>
      <c r="I56" s="67">
        <f>IF(A56="","",'Produtos'!H56)</f>
        <v/>
      </c>
      <c r="J56" s="70">
        <f>IF(A56="","",'Produtos'!E56)</f>
        <v/>
      </c>
      <c r="K56" s="70">
        <f>IF(A56="","",G56*J56)</f>
        <v/>
      </c>
      <c r="L56" s="69">
        <f>IF(A56="","",IF(G56&lt;=0,"CRÍTICO",IF(G56&lt;=H56,"REPOR","OK")))</f>
        <v/>
      </c>
      <c r="M56" s="67">
        <f>IF(A56="","",IF(L56="OK",0,MAX(0,I56-G56)))</f>
        <v/>
      </c>
      <c r="N56" s="71">
        <f>IF(A56="","",IF(H56&gt;0,G56/H56,99))</f>
        <v/>
      </c>
      <c r="O56" s="68">
        <f>IF(A56="","",IF(L56="OK","",N56+ROW()/100000))</f>
        <v/>
      </c>
    </row>
    <row r="57">
      <c r="A57" s="69">
        <f>IF('Produtos'!A57="","",'Produtos'!A57)</f>
        <v/>
      </c>
      <c r="B57" s="66">
        <f>IF(A57="","",'Produtos'!B57)</f>
        <v/>
      </c>
      <c r="C57" s="66">
        <f>IF(A57="","",'Produtos'!C57)</f>
        <v/>
      </c>
      <c r="D57" s="67">
        <f>IF(A57="","",'Produtos'!F57)</f>
        <v/>
      </c>
      <c r="E57" s="67">
        <f>IF(A57="","",SUMIFS('Movimentações'!$F$5:$F$1004,'Movimentações'!$C$5:$C$1004,A57,'Movimentações'!$E$5:$E$1004,"Entrada"))</f>
        <v/>
      </c>
      <c r="F57" s="67">
        <f>IF(A57="","",SUMIFS('Movimentações'!$F$5:$F$1004,'Movimentações'!$C$5:$C$1004,A57,'Movimentações'!$E$5:$E$1004,"Saída"))</f>
        <v/>
      </c>
      <c r="G57" s="67">
        <f>IF(A57="","",D57+E57-F57)</f>
        <v/>
      </c>
      <c r="H57" s="67">
        <f>IF(A57="","",'Produtos'!G57)</f>
        <v/>
      </c>
      <c r="I57" s="67">
        <f>IF(A57="","",'Produtos'!H57)</f>
        <v/>
      </c>
      <c r="J57" s="70">
        <f>IF(A57="","",'Produtos'!E57)</f>
        <v/>
      </c>
      <c r="K57" s="70">
        <f>IF(A57="","",G57*J57)</f>
        <v/>
      </c>
      <c r="L57" s="69">
        <f>IF(A57="","",IF(G57&lt;=0,"CRÍTICO",IF(G57&lt;=H57,"REPOR","OK")))</f>
        <v/>
      </c>
      <c r="M57" s="67">
        <f>IF(A57="","",IF(L57="OK",0,MAX(0,I57-G57)))</f>
        <v/>
      </c>
      <c r="N57" s="71">
        <f>IF(A57="","",IF(H57&gt;0,G57/H57,99))</f>
        <v/>
      </c>
      <c r="O57" s="68">
        <f>IF(A57="","",IF(L57="OK","",N57+ROW()/100000))</f>
        <v/>
      </c>
    </row>
    <row r="58">
      <c r="A58" s="69">
        <f>IF('Produtos'!A58="","",'Produtos'!A58)</f>
        <v/>
      </c>
      <c r="B58" s="66">
        <f>IF(A58="","",'Produtos'!B58)</f>
        <v/>
      </c>
      <c r="C58" s="66">
        <f>IF(A58="","",'Produtos'!C58)</f>
        <v/>
      </c>
      <c r="D58" s="67">
        <f>IF(A58="","",'Produtos'!F58)</f>
        <v/>
      </c>
      <c r="E58" s="67">
        <f>IF(A58="","",SUMIFS('Movimentações'!$F$5:$F$1004,'Movimentações'!$C$5:$C$1004,A58,'Movimentações'!$E$5:$E$1004,"Entrada"))</f>
        <v/>
      </c>
      <c r="F58" s="67">
        <f>IF(A58="","",SUMIFS('Movimentações'!$F$5:$F$1004,'Movimentações'!$C$5:$C$1004,A58,'Movimentações'!$E$5:$E$1004,"Saída"))</f>
        <v/>
      </c>
      <c r="G58" s="67">
        <f>IF(A58="","",D58+E58-F58)</f>
        <v/>
      </c>
      <c r="H58" s="67">
        <f>IF(A58="","",'Produtos'!G58)</f>
        <v/>
      </c>
      <c r="I58" s="67">
        <f>IF(A58="","",'Produtos'!H58)</f>
        <v/>
      </c>
      <c r="J58" s="70">
        <f>IF(A58="","",'Produtos'!E58)</f>
        <v/>
      </c>
      <c r="K58" s="70">
        <f>IF(A58="","",G58*J58)</f>
        <v/>
      </c>
      <c r="L58" s="69">
        <f>IF(A58="","",IF(G58&lt;=0,"CRÍTICO",IF(G58&lt;=H58,"REPOR","OK")))</f>
        <v/>
      </c>
      <c r="M58" s="67">
        <f>IF(A58="","",IF(L58="OK",0,MAX(0,I58-G58)))</f>
        <v/>
      </c>
      <c r="N58" s="71">
        <f>IF(A58="","",IF(H58&gt;0,G58/H58,99))</f>
        <v/>
      </c>
      <c r="O58" s="68">
        <f>IF(A58="","",IF(L58="OK","",N58+ROW()/100000))</f>
        <v/>
      </c>
    </row>
    <row r="59">
      <c r="A59" s="69">
        <f>IF('Produtos'!A59="","",'Produtos'!A59)</f>
        <v/>
      </c>
      <c r="B59" s="66">
        <f>IF(A59="","",'Produtos'!B59)</f>
        <v/>
      </c>
      <c r="C59" s="66">
        <f>IF(A59="","",'Produtos'!C59)</f>
        <v/>
      </c>
      <c r="D59" s="67">
        <f>IF(A59="","",'Produtos'!F59)</f>
        <v/>
      </c>
      <c r="E59" s="67">
        <f>IF(A59="","",SUMIFS('Movimentações'!$F$5:$F$1004,'Movimentações'!$C$5:$C$1004,A59,'Movimentações'!$E$5:$E$1004,"Entrada"))</f>
        <v/>
      </c>
      <c r="F59" s="67">
        <f>IF(A59="","",SUMIFS('Movimentações'!$F$5:$F$1004,'Movimentações'!$C$5:$C$1004,A59,'Movimentações'!$E$5:$E$1004,"Saída"))</f>
        <v/>
      </c>
      <c r="G59" s="67">
        <f>IF(A59="","",D59+E59-F59)</f>
        <v/>
      </c>
      <c r="H59" s="67">
        <f>IF(A59="","",'Produtos'!G59)</f>
        <v/>
      </c>
      <c r="I59" s="67">
        <f>IF(A59="","",'Produtos'!H59)</f>
        <v/>
      </c>
      <c r="J59" s="70">
        <f>IF(A59="","",'Produtos'!E59)</f>
        <v/>
      </c>
      <c r="K59" s="70">
        <f>IF(A59="","",G59*J59)</f>
        <v/>
      </c>
      <c r="L59" s="69">
        <f>IF(A59="","",IF(G59&lt;=0,"CRÍTICO",IF(G59&lt;=H59,"REPOR","OK")))</f>
        <v/>
      </c>
      <c r="M59" s="67">
        <f>IF(A59="","",IF(L59="OK",0,MAX(0,I59-G59)))</f>
        <v/>
      </c>
      <c r="N59" s="71">
        <f>IF(A59="","",IF(H59&gt;0,G59/H59,99))</f>
        <v/>
      </c>
      <c r="O59" s="68">
        <f>IF(A59="","",IF(L59="OK","",N59+ROW()/100000))</f>
        <v/>
      </c>
    </row>
    <row r="60">
      <c r="A60" s="69">
        <f>IF('Produtos'!A60="","",'Produtos'!A60)</f>
        <v/>
      </c>
      <c r="B60" s="66">
        <f>IF(A60="","",'Produtos'!B60)</f>
        <v/>
      </c>
      <c r="C60" s="66">
        <f>IF(A60="","",'Produtos'!C60)</f>
        <v/>
      </c>
      <c r="D60" s="67">
        <f>IF(A60="","",'Produtos'!F60)</f>
        <v/>
      </c>
      <c r="E60" s="67">
        <f>IF(A60="","",SUMIFS('Movimentações'!$F$5:$F$1004,'Movimentações'!$C$5:$C$1004,A60,'Movimentações'!$E$5:$E$1004,"Entrada"))</f>
        <v/>
      </c>
      <c r="F60" s="67">
        <f>IF(A60="","",SUMIFS('Movimentações'!$F$5:$F$1004,'Movimentações'!$C$5:$C$1004,A60,'Movimentações'!$E$5:$E$1004,"Saída"))</f>
        <v/>
      </c>
      <c r="G60" s="67">
        <f>IF(A60="","",D60+E60-F60)</f>
        <v/>
      </c>
      <c r="H60" s="67">
        <f>IF(A60="","",'Produtos'!G60)</f>
        <v/>
      </c>
      <c r="I60" s="67">
        <f>IF(A60="","",'Produtos'!H60)</f>
        <v/>
      </c>
      <c r="J60" s="70">
        <f>IF(A60="","",'Produtos'!E60)</f>
        <v/>
      </c>
      <c r="K60" s="70">
        <f>IF(A60="","",G60*J60)</f>
        <v/>
      </c>
      <c r="L60" s="69">
        <f>IF(A60="","",IF(G60&lt;=0,"CRÍTICO",IF(G60&lt;=H60,"REPOR","OK")))</f>
        <v/>
      </c>
      <c r="M60" s="67">
        <f>IF(A60="","",IF(L60="OK",0,MAX(0,I60-G60)))</f>
        <v/>
      </c>
      <c r="N60" s="71">
        <f>IF(A60="","",IF(H60&gt;0,G60/H60,99))</f>
        <v/>
      </c>
      <c r="O60" s="68">
        <f>IF(A60="","",IF(L60="OK","",N60+ROW()/100000))</f>
        <v/>
      </c>
    </row>
    <row r="61">
      <c r="A61" s="69">
        <f>IF('Produtos'!A61="","",'Produtos'!A61)</f>
        <v/>
      </c>
      <c r="B61" s="66">
        <f>IF(A61="","",'Produtos'!B61)</f>
        <v/>
      </c>
      <c r="C61" s="66">
        <f>IF(A61="","",'Produtos'!C61)</f>
        <v/>
      </c>
      <c r="D61" s="67">
        <f>IF(A61="","",'Produtos'!F61)</f>
        <v/>
      </c>
      <c r="E61" s="67">
        <f>IF(A61="","",SUMIFS('Movimentações'!$F$5:$F$1004,'Movimentações'!$C$5:$C$1004,A61,'Movimentações'!$E$5:$E$1004,"Entrada"))</f>
        <v/>
      </c>
      <c r="F61" s="67">
        <f>IF(A61="","",SUMIFS('Movimentações'!$F$5:$F$1004,'Movimentações'!$C$5:$C$1004,A61,'Movimentações'!$E$5:$E$1004,"Saída"))</f>
        <v/>
      </c>
      <c r="G61" s="67">
        <f>IF(A61="","",D61+E61-F61)</f>
        <v/>
      </c>
      <c r="H61" s="67">
        <f>IF(A61="","",'Produtos'!G61)</f>
        <v/>
      </c>
      <c r="I61" s="67">
        <f>IF(A61="","",'Produtos'!H61)</f>
        <v/>
      </c>
      <c r="J61" s="70">
        <f>IF(A61="","",'Produtos'!E61)</f>
        <v/>
      </c>
      <c r="K61" s="70">
        <f>IF(A61="","",G61*J61)</f>
        <v/>
      </c>
      <c r="L61" s="69">
        <f>IF(A61="","",IF(G61&lt;=0,"CRÍTICO",IF(G61&lt;=H61,"REPOR","OK")))</f>
        <v/>
      </c>
      <c r="M61" s="67">
        <f>IF(A61="","",IF(L61="OK",0,MAX(0,I61-G61)))</f>
        <v/>
      </c>
      <c r="N61" s="71">
        <f>IF(A61="","",IF(H61&gt;0,G61/H61,99))</f>
        <v/>
      </c>
      <c r="O61" s="68">
        <f>IF(A61="","",IF(L61="OK","",N61+ROW()/100000))</f>
        <v/>
      </c>
    </row>
    <row r="62">
      <c r="A62" s="69">
        <f>IF('Produtos'!A62="","",'Produtos'!A62)</f>
        <v/>
      </c>
      <c r="B62" s="66">
        <f>IF(A62="","",'Produtos'!B62)</f>
        <v/>
      </c>
      <c r="C62" s="66">
        <f>IF(A62="","",'Produtos'!C62)</f>
        <v/>
      </c>
      <c r="D62" s="67">
        <f>IF(A62="","",'Produtos'!F62)</f>
        <v/>
      </c>
      <c r="E62" s="67">
        <f>IF(A62="","",SUMIFS('Movimentações'!$F$5:$F$1004,'Movimentações'!$C$5:$C$1004,A62,'Movimentações'!$E$5:$E$1004,"Entrada"))</f>
        <v/>
      </c>
      <c r="F62" s="67">
        <f>IF(A62="","",SUMIFS('Movimentações'!$F$5:$F$1004,'Movimentações'!$C$5:$C$1004,A62,'Movimentações'!$E$5:$E$1004,"Saída"))</f>
        <v/>
      </c>
      <c r="G62" s="67">
        <f>IF(A62="","",D62+E62-F62)</f>
        <v/>
      </c>
      <c r="H62" s="67">
        <f>IF(A62="","",'Produtos'!G62)</f>
        <v/>
      </c>
      <c r="I62" s="67">
        <f>IF(A62="","",'Produtos'!H62)</f>
        <v/>
      </c>
      <c r="J62" s="70">
        <f>IF(A62="","",'Produtos'!E62)</f>
        <v/>
      </c>
      <c r="K62" s="70">
        <f>IF(A62="","",G62*J62)</f>
        <v/>
      </c>
      <c r="L62" s="69">
        <f>IF(A62="","",IF(G62&lt;=0,"CRÍTICO",IF(G62&lt;=H62,"REPOR","OK")))</f>
        <v/>
      </c>
      <c r="M62" s="67">
        <f>IF(A62="","",IF(L62="OK",0,MAX(0,I62-G62)))</f>
        <v/>
      </c>
      <c r="N62" s="71">
        <f>IF(A62="","",IF(H62&gt;0,G62/H62,99))</f>
        <v/>
      </c>
      <c r="O62" s="68">
        <f>IF(A62="","",IF(L62="OK","",N62+ROW()/100000))</f>
        <v/>
      </c>
    </row>
    <row r="63">
      <c r="A63" s="69">
        <f>IF('Produtos'!A63="","",'Produtos'!A63)</f>
        <v/>
      </c>
      <c r="B63" s="66">
        <f>IF(A63="","",'Produtos'!B63)</f>
        <v/>
      </c>
      <c r="C63" s="66">
        <f>IF(A63="","",'Produtos'!C63)</f>
        <v/>
      </c>
      <c r="D63" s="67">
        <f>IF(A63="","",'Produtos'!F63)</f>
        <v/>
      </c>
      <c r="E63" s="67">
        <f>IF(A63="","",SUMIFS('Movimentações'!$F$5:$F$1004,'Movimentações'!$C$5:$C$1004,A63,'Movimentações'!$E$5:$E$1004,"Entrada"))</f>
        <v/>
      </c>
      <c r="F63" s="67">
        <f>IF(A63="","",SUMIFS('Movimentações'!$F$5:$F$1004,'Movimentações'!$C$5:$C$1004,A63,'Movimentações'!$E$5:$E$1004,"Saída"))</f>
        <v/>
      </c>
      <c r="G63" s="67">
        <f>IF(A63="","",D63+E63-F63)</f>
        <v/>
      </c>
      <c r="H63" s="67">
        <f>IF(A63="","",'Produtos'!G63)</f>
        <v/>
      </c>
      <c r="I63" s="67">
        <f>IF(A63="","",'Produtos'!H63)</f>
        <v/>
      </c>
      <c r="J63" s="70">
        <f>IF(A63="","",'Produtos'!E63)</f>
        <v/>
      </c>
      <c r="K63" s="70">
        <f>IF(A63="","",G63*J63)</f>
        <v/>
      </c>
      <c r="L63" s="69">
        <f>IF(A63="","",IF(G63&lt;=0,"CRÍTICO",IF(G63&lt;=H63,"REPOR","OK")))</f>
        <v/>
      </c>
      <c r="M63" s="67">
        <f>IF(A63="","",IF(L63="OK",0,MAX(0,I63-G63)))</f>
        <v/>
      </c>
      <c r="N63" s="71">
        <f>IF(A63="","",IF(H63&gt;0,G63/H63,99))</f>
        <v/>
      </c>
      <c r="O63" s="68">
        <f>IF(A63="","",IF(L63="OK","",N63+ROW()/100000))</f>
        <v/>
      </c>
    </row>
    <row r="64">
      <c r="A64" s="69">
        <f>IF('Produtos'!A64="","",'Produtos'!A64)</f>
        <v/>
      </c>
      <c r="B64" s="66">
        <f>IF(A64="","",'Produtos'!B64)</f>
        <v/>
      </c>
      <c r="C64" s="66">
        <f>IF(A64="","",'Produtos'!C64)</f>
        <v/>
      </c>
      <c r="D64" s="67">
        <f>IF(A64="","",'Produtos'!F64)</f>
        <v/>
      </c>
      <c r="E64" s="67">
        <f>IF(A64="","",SUMIFS('Movimentações'!$F$5:$F$1004,'Movimentações'!$C$5:$C$1004,A64,'Movimentações'!$E$5:$E$1004,"Entrada"))</f>
        <v/>
      </c>
      <c r="F64" s="67">
        <f>IF(A64="","",SUMIFS('Movimentações'!$F$5:$F$1004,'Movimentações'!$C$5:$C$1004,A64,'Movimentações'!$E$5:$E$1004,"Saída"))</f>
        <v/>
      </c>
      <c r="G64" s="67">
        <f>IF(A64="","",D64+E64-F64)</f>
        <v/>
      </c>
      <c r="H64" s="67">
        <f>IF(A64="","",'Produtos'!G64)</f>
        <v/>
      </c>
      <c r="I64" s="67">
        <f>IF(A64="","",'Produtos'!H64)</f>
        <v/>
      </c>
      <c r="J64" s="70">
        <f>IF(A64="","",'Produtos'!E64)</f>
        <v/>
      </c>
      <c r="K64" s="70">
        <f>IF(A64="","",G64*J64)</f>
        <v/>
      </c>
      <c r="L64" s="69">
        <f>IF(A64="","",IF(G64&lt;=0,"CRÍTICO",IF(G64&lt;=H64,"REPOR","OK")))</f>
        <v/>
      </c>
      <c r="M64" s="67">
        <f>IF(A64="","",IF(L64="OK",0,MAX(0,I64-G64)))</f>
        <v/>
      </c>
      <c r="N64" s="71">
        <f>IF(A64="","",IF(H64&gt;0,G64/H64,99))</f>
        <v/>
      </c>
      <c r="O64" s="68">
        <f>IF(A64="","",IF(L64="OK","",N64+ROW()/100000))</f>
        <v/>
      </c>
    </row>
    <row r="65">
      <c r="A65" s="69">
        <f>IF('Produtos'!A65="","",'Produtos'!A65)</f>
        <v/>
      </c>
      <c r="B65" s="66">
        <f>IF(A65="","",'Produtos'!B65)</f>
        <v/>
      </c>
      <c r="C65" s="66">
        <f>IF(A65="","",'Produtos'!C65)</f>
        <v/>
      </c>
      <c r="D65" s="67">
        <f>IF(A65="","",'Produtos'!F65)</f>
        <v/>
      </c>
      <c r="E65" s="67">
        <f>IF(A65="","",SUMIFS('Movimentações'!$F$5:$F$1004,'Movimentações'!$C$5:$C$1004,A65,'Movimentações'!$E$5:$E$1004,"Entrada"))</f>
        <v/>
      </c>
      <c r="F65" s="67">
        <f>IF(A65="","",SUMIFS('Movimentações'!$F$5:$F$1004,'Movimentações'!$C$5:$C$1004,A65,'Movimentações'!$E$5:$E$1004,"Saída"))</f>
        <v/>
      </c>
      <c r="G65" s="67">
        <f>IF(A65="","",D65+E65-F65)</f>
        <v/>
      </c>
      <c r="H65" s="67">
        <f>IF(A65="","",'Produtos'!G65)</f>
        <v/>
      </c>
      <c r="I65" s="67">
        <f>IF(A65="","",'Produtos'!H65)</f>
        <v/>
      </c>
      <c r="J65" s="70">
        <f>IF(A65="","",'Produtos'!E65)</f>
        <v/>
      </c>
      <c r="K65" s="70">
        <f>IF(A65="","",G65*J65)</f>
        <v/>
      </c>
      <c r="L65" s="69">
        <f>IF(A65="","",IF(G65&lt;=0,"CRÍTICO",IF(G65&lt;=H65,"REPOR","OK")))</f>
        <v/>
      </c>
      <c r="M65" s="67">
        <f>IF(A65="","",IF(L65="OK",0,MAX(0,I65-G65)))</f>
        <v/>
      </c>
      <c r="N65" s="71">
        <f>IF(A65="","",IF(H65&gt;0,G65/H65,99))</f>
        <v/>
      </c>
      <c r="O65" s="68">
        <f>IF(A65="","",IF(L65="OK","",N65+ROW()/100000))</f>
        <v/>
      </c>
    </row>
    <row r="66">
      <c r="A66" s="69">
        <f>IF('Produtos'!A66="","",'Produtos'!A66)</f>
        <v/>
      </c>
      <c r="B66" s="66">
        <f>IF(A66="","",'Produtos'!B66)</f>
        <v/>
      </c>
      <c r="C66" s="66">
        <f>IF(A66="","",'Produtos'!C66)</f>
        <v/>
      </c>
      <c r="D66" s="67">
        <f>IF(A66="","",'Produtos'!F66)</f>
        <v/>
      </c>
      <c r="E66" s="67">
        <f>IF(A66="","",SUMIFS('Movimentações'!$F$5:$F$1004,'Movimentações'!$C$5:$C$1004,A66,'Movimentações'!$E$5:$E$1004,"Entrada"))</f>
        <v/>
      </c>
      <c r="F66" s="67">
        <f>IF(A66="","",SUMIFS('Movimentações'!$F$5:$F$1004,'Movimentações'!$C$5:$C$1004,A66,'Movimentações'!$E$5:$E$1004,"Saída"))</f>
        <v/>
      </c>
      <c r="G66" s="67">
        <f>IF(A66="","",D66+E66-F66)</f>
        <v/>
      </c>
      <c r="H66" s="67">
        <f>IF(A66="","",'Produtos'!G66)</f>
        <v/>
      </c>
      <c r="I66" s="67">
        <f>IF(A66="","",'Produtos'!H66)</f>
        <v/>
      </c>
      <c r="J66" s="70">
        <f>IF(A66="","",'Produtos'!E66)</f>
        <v/>
      </c>
      <c r="K66" s="70">
        <f>IF(A66="","",G66*J66)</f>
        <v/>
      </c>
      <c r="L66" s="69">
        <f>IF(A66="","",IF(G66&lt;=0,"CRÍTICO",IF(G66&lt;=H66,"REPOR","OK")))</f>
        <v/>
      </c>
      <c r="M66" s="67">
        <f>IF(A66="","",IF(L66="OK",0,MAX(0,I66-G66)))</f>
        <v/>
      </c>
      <c r="N66" s="71">
        <f>IF(A66="","",IF(H66&gt;0,G66/H66,99))</f>
        <v/>
      </c>
      <c r="O66" s="68">
        <f>IF(A66="","",IF(L66="OK","",N66+ROW()/100000))</f>
        <v/>
      </c>
    </row>
    <row r="67">
      <c r="A67" s="69">
        <f>IF('Produtos'!A67="","",'Produtos'!A67)</f>
        <v/>
      </c>
      <c r="B67" s="66">
        <f>IF(A67="","",'Produtos'!B67)</f>
        <v/>
      </c>
      <c r="C67" s="66">
        <f>IF(A67="","",'Produtos'!C67)</f>
        <v/>
      </c>
      <c r="D67" s="67">
        <f>IF(A67="","",'Produtos'!F67)</f>
        <v/>
      </c>
      <c r="E67" s="67">
        <f>IF(A67="","",SUMIFS('Movimentações'!$F$5:$F$1004,'Movimentações'!$C$5:$C$1004,A67,'Movimentações'!$E$5:$E$1004,"Entrada"))</f>
        <v/>
      </c>
      <c r="F67" s="67">
        <f>IF(A67="","",SUMIFS('Movimentações'!$F$5:$F$1004,'Movimentações'!$C$5:$C$1004,A67,'Movimentações'!$E$5:$E$1004,"Saída"))</f>
        <v/>
      </c>
      <c r="G67" s="67">
        <f>IF(A67="","",D67+E67-F67)</f>
        <v/>
      </c>
      <c r="H67" s="67">
        <f>IF(A67="","",'Produtos'!G67)</f>
        <v/>
      </c>
      <c r="I67" s="67">
        <f>IF(A67="","",'Produtos'!H67)</f>
        <v/>
      </c>
      <c r="J67" s="70">
        <f>IF(A67="","",'Produtos'!E67)</f>
        <v/>
      </c>
      <c r="K67" s="70">
        <f>IF(A67="","",G67*J67)</f>
        <v/>
      </c>
      <c r="L67" s="69">
        <f>IF(A67="","",IF(G67&lt;=0,"CRÍTICO",IF(G67&lt;=H67,"REPOR","OK")))</f>
        <v/>
      </c>
      <c r="M67" s="67">
        <f>IF(A67="","",IF(L67="OK",0,MAX(0,I67-G67)))</f>
        <v/>
      </c>
      <c r="N67" s="71">
        <f>IF(A67="","",IF(H67&gt;0,G67/H67,99))</f>
        <v/>
      </c>
      <c r="O67" s="68">
        <f>IF(A67="","",IF(L67="OK","",N67+ROW()/100000))</f>
        <v/>
      </c>
    </row>
    <row r="68">
      <c r="A68" s="69">
        <f>IF('Produtos'!A68="","",'Produtos'!A68)</f>
        <v/>
      </c>
      <c r="B68" s="66">
        <f>IF(A68="","",'Produtos'!B68)</f>
        <v/>
      </c>
      <c r="C68" s="66">
        <f>IF(A68="","",'Produtos'!C68)</f>
        <v/>
      </c>
      <c r="D68" s="67">
        <f>IF(A68="","",'Produtos'!F68)</f>
        <v/>
      </c>
      <c r="E68" s="67">
        <f>IF(A68="","",SUMIFS('Movimentações'!$F$5:$F$1004,'Movimentações'!$C$5:$C$1004,A68,'Movimentações'!$E$5:$E$1004,"Entrada"))</f>
        <v/>
      </c>
      <c r="F68" s="67">
        <f>IF(A68="","",SUMIFS('Movimentações'!$F$5:$F$1004,'Movimentações'!$C$5:$C$1004,A68,'Movimentações'!$E$5:$E$1004,"Saída"))</f>
        <v/>
      </c>
      <c r="G68" s="67">
        <f>IF(A68="","",D68+E68-F68)</f>
        <v/>
      </c>
      <c r="H68" s="67">
        <f>IF(A68="","",'Produtos'!G68)</f>
        <v/>
      </c>
      <c r="I68" s="67">
        <f>IF(A68="","",'Produtos'!H68)</f>
        <v/>
      </c>
      <c r="J68" s="70">
        <f>IF(A68="","",'Produtos'!E68)</f>
        <v/>
      </c>
      <c r="K68" s="70">
        <f>IF(A68="","",G68*J68)</f>
        <v/>
      </c>
      <c r="L68" s="69">
        <f>IF(A68="","",IF(G68&lt;=0,"CRÍTICO",IF(G68&lt;=H68,"REPOR","OK")))</f>
        <v/>
      </c>
      <c r="M68" s="67">
        <f>IF(A68="","",IF(L68="OK",0,MAX(0,I68-G68)))</f>
        <v/>
      </c>
      <c r="N68" s="71">
        <f>IF(A68="","",IF(H68&gt;0,G68/H68,99))</f>
        <v/>
      </c>
      <c r="O68" s="68">
        <f>IF(A68="","",IF(L68="OK","",N68+ROW()/100000))</f>
        <v/>
      </c>
    </row>
    <row r="69">
      <c r="A69" s="69">
        <f>IF('Produtos'!A69="","",'Produtos'!A69)</f>
        <v/>
      </c>
      <c r="B69" s="66">
        <f>IF(A69="","",'Produtos'!B69)</f>
        <v/>
      </c>
      <c r="C69" s="66">
        <f>IF(A69="","",'Produtos'!C69)</f>
        <v/>
      </c>
      <c r="D69" s="67">
        <f>IF(A69="","",'Produtos'!F69)</f>
        <v/>
      </c>
      <c r="E69" s="67">
        <f>IF(A69="","",SUMIFS('Movimentações'!$F$5:$F$1004,'Movimentações'!$C$5:$C$1004,A69,'Movimentações'!$E$5:$E$1004,"Entrada"))</f>
        <v/>
      </c>
      <c r="F69" s="67">
        <f>IF(A69="","",SUMIFS('Movimentações'!$F$5:$F$1004,'Movimentações'!$C$5:$C$1004,A69,'Movimentações'!$E$5:$E$1004,"Saída"))</f>
        <v/>
      </c>
      <c r="G69" s="67">
        <f>IF(A69="","",D69+E69-F69)</f>
        <v/>
      </c>
      <c r="H69" s="67">
        <f>IF(A69="","",'Produtos'!G69)</f>
        <v/>
      </c>
      <c r="I69" s="67">
        <f>IF(A69="","",'Produtos'!H69)</f>
        <v/>
      </c>
      <c r="J69" s="70">
        <f>IF(A69="","",'Produtos'!E69)</f>
        <v/>
      </c>
      <c r="K69" s="70">
        <f>IF(A69="","",G69*J69)</f>
        <v/>
      </c>
      <c r="L69" s="69">
        <f>IF(A69="","",IF(G69&lt;=0,"CRÍTICO",IF(G69&lt;=H69,"REPOR","OK")))</f>
        <v/>
      </c>
      <c r="M69" s="67">
        <f>IF(A69="","",IF(L69="OK",0,MAX(0,I69-G69)))</f>
        <v/>
      </c>
      <c r="N69" s="71">
        <f>IF(A69="","",IF(H69&gt;0,G69/H69,99))</f>
        <v/>
      </c>
      <c r="O69" s="68">
        <f>IF(A69="","",IF(L69="OK","",N69+ROW()/100000))</f>
        <v/>
      </c>
    </row>
    <row r="70">
      <c r="A70" s="69">
        <f>IF('Produtos'!A70="","",'Produtos'!A70)</f>
        <v/>
      </c>
      <c r="B70" s="66">
        <f>IF(A70="","",'Produtos'!B70)</f>
        <v/>
      </c>
      <c r="C70" s="66">
        <f>IF(A70="","",'Produtos'!C70)</f>
        <v/>
      </c>
      <c r="D70" s="67">
        <f>IF(A70="","",'Produtos'!F70)</f>
        <v/>
      </c>
      <c r="E70" s="67">
        <f>IF(A70="","",SUMIFS('Movimentações'!$F$5:$F$1004,'Movimentações'!$C$5:$C$1004,A70,'Movimentações'!$E$5:$E$1004,"Entrada"))</f>
        <v/>
      </c>
      <c r="F70" s="67">
        <f>IF(A70="","",SUMIFS('Movimentações'!$F$5:$F$1004,'Movimentações'!$C$5:$C$1004,A70,'Movimentações'!$E$5:$E$1004,"Saída"))</f>
        <v/>
      </c>
      <c r="G70" s="67">
        <f>IF(A70="","",D70+E70-F70)</f>
        <v/>
      </c>
      <c r="H70" s="67">
        <f>IF(A70="","",'Produtos'!G70)</f>
        <v/>
      </c>
      <c r="I70" s="67">
        <f>IF(A70="","",'Produtos'!H70)</f>
        <v/>
      </c>
      <c r="J70" s="70">
        <f>IF(A70="","",'Produtos'!E70)</f>
        <v/>
      </c>
      <c r="K70" s="70">
        <f>IF(A70="","",G70*J70)</f>
        <v/>
      </c>
      <c r="L70" s="69">
        <f>IF(A70="","",IF(G70&lt;=0,"CRÍTICO",IF(G70&lt;=H70,"REPOR","OK")))</f>
        <v/>
      </c>
      <c r="M70" s="67">
        <f>IF(A70="","",IF(L70="OK",0,MAX(0,I70-G70)))</f>
        <v/>
      </c>
      <c r="N70" s="71">
        <f>IF(A70="","",IF(H70&gt;0,G70/H70,99))</f>
        <v/>
      </c>
      <c r="O70" s="68">
        <f>IF(A70="","",IF(L70="OK","",N70+ROW()/100000))</f>
        <v/>
      </c>
    </row>
    <row r="71">
      <c r="A71" s="69">
        <f>IF('Produtos'!A71="","",'Produtos'!A71)</f>
        <v/>
      </c>
      <c r="B71" s="66">
        <f>IF(A71="","",'Produtos'!B71)</f>
        <v/>
      </c>
      <c r="C71" s="66">
        <f>IF(A71="","",'Produtos'!C71)</f>
        <v/>
      </c>
      <c r="D71" s="67">
        <f>IF(A71="","",'Produtos'!F71)</f>
        <v/>
      </c>
      <c r="E71" s="67">
        <f>IF(A71="","",SUMIFS('Movimentações'!$F$5:$F$1004,'Movimentações'!$C$5:$C$1004,A71,'Movimentações'!$E$5:$E$1004,"Entrada"))</f>
        <v/>
      </c>
      <c r="F71" s="67">
        <f>IF(A71="","",SUMIFS('Movimentações'!$F$5:$F$1004,'Movimentações'!$C$5:$C$1004,A71,'Movimentações'!$E$5:$E$1004,"Saída"))</f>
        <v/>
      </c>
      <c r="G71" s="67">
        <f>IF(A71="","",D71+E71-F71)</f>
        <v/>
      </c>
      <c r="H71" s="67">
        <f>IF(A71="","",'Produtos'!G71)</f>
        <v/>
      </c>
      <c r="I71" s="67">
        <f>IF(A71="","",'Produtos'!H71)</f>
        <v/>
      </c>
      <c r="J71" s="70">
        <f>IF(A71="","",'Produtos'!E71)</f>
        <v/>
      </c>
      <c r="K71" s="70">
        <f>IF(A71="","",G71*J71)</f>
        <v/>
      </c>
      <c r="L71" s="69">
        <f>IF(A71="","",IF(G71&lt;=0,"CRÍTICO",IF(G71&lt;=H71,"REPOR","OK")))</f>
        <v/>
      </c>
      <c r="M71" s="67">
        <f>IF(A71="","",IF(L71="OK",0,MAX(0,I71-G71)))</f>
        <v/>
      </c>
      <c r="N71" s="71">
        <f>IF(A71="","",IF(H71&gt;0,G71/H71,99))</f>
        <v/>
      </c>
      <c r="O71" s="68">
        <f>IF(A71="","",IF(L71="OK","",N71+ROW()/100000))</f>
        <v/>
      </c>
    </row>
    <row r="72">
      <c r="A72" s="69">
        <f>IF('Produtos'!A72="","",'Produtos'!A72)</f>
        <v/>
      </c>
      <c r="B72" s="66">
        <f>IF(A72="","",'Produtos'!B72)</f>
        <v/>
      </c>
      <c r="C72" s="66">
        <f>IF(A72="","",'Produtos'!C72)</f>
        <v/>
      </c>
      <c r="D72" s="67">
        <f>IF(A72="","",'Produtos'!F72)</f>
        <v/>
      </c>
      <c r="E72" s="67">
        <f>IF(A72="","",SUMIFS('Movimentações'!$F$5:$F$1004,'Movimentações'!$C$5:$C$1004,A72,'Movimentações'!$E$5:$E$1004,"Entrada"))</f>
        <v/>
      </c>
      <c r="F72" s="67">
        <f>IF(A72="","",SUMIFS('Movimentações'!$F$5:$F$1004,'Movimentações'!$C$5:$C$1004,A72,'Movimentações'!$E$5:$E$1004,"Saída"))</f>
        <v/>
      </c>
      <c r="G72" s="67">
        <f>IF(A72="","",D72+E72-F72)</f>
        <v/>
      </c>
      <c r="H72" s="67">
        <f>IF(A72="","",'Produtos'!G72)</f>
        <v/>
      </c>
      <c r="I72" s="67">
        <f>IF(A72="","",'Produtos'!H72)</f>
        <v/>
      </c>
      <c r="J72" s="70">
        <f>IF(A72="","",'Produtos'!E72)</f>
        <v/>
      </c>
      <c r="K72" s="70">
        <f>IF(A72="","",G72*J72)</f>
        <v/>
      </c>
      <c r="L72" s="69">
        <f>IF(A72="","",IF(G72&lt;=0,"CRÍTICO",IF(G72&lt;=H72,"REPOR","OK")))</f>
        <v/>
      </c>
      <c r="M72" s="67">
        <f>IF(A72="","",IF(L72="OK",0,MAX(0,I72-G72)))</f>
        <v/>
      </c>
      <c r="N72" s="71">
        <f>IF(A72="","",IF(H72&gt;0,G72/H72,99))</f>
        <v/>
      </c>
      <c r="O72" s="68">
        <f>IF(A72="","",IF(L72="OK","",N72+ROW()/100000))</f>
        <v/>
      </c>
    </row>
    <row r="73">
      <c r="A73" s="69">
        <f>IF('Produtos'!A73="","",'Produtos'!A73)</f>
        <v/>
      </c>
      <c r="B73" s="66">
        <f>IF(A73="","",'Produtos'!B73)</f>
        <v/>
      </c>
      <c r="C73" s="66">
        <f>IF(A73="","",'Produtos'!C73)</f>
        <v/>
      </c>
      <c r="D73" s="67">
        <f>IF(A73="","",'Produtos'!F73)</f>
        <v/>
      </c>
      <c r="E73" s="67">
        <f>IF(A73="","",SUMIFS('Movimentações'!$F$5:$F$1004,'Movimentações'!$C$5:$C$1004,A73,'Movimentações'!$E$5:$E$1004,"Entrada"))</f>
        <v/>
      </c>
      <c r="F73" s="67">
        <f>IF(A73="","",SUMIFS('Movimentações'!$F$5:$F$1004,'Movimentações'!$C$5:$C$1004,A73,'Movimentações'!$E$5:$E$1004,"Saída"))</f>
        <v/>
      </c>
      <c r="G73" s="67">
        <f>IF(A73="","",D73+E73-F73)</f>
        <v/>
      </c>
      <c r="H73" s="67">
        <f>IF(A73="","",'Produtos'!G73)</f>
        <v/>
      </c>
      <c r="I73" s="67">
        <f>IF(A73="","",'Produtos'!H73)</f>
        <v/>
      </c>
      <c r="J73" s="70">
        <f>IF(A73="","",'Produtos'!E73)</f>
        <v/>
      </c>
      <c r="K73" s="70">
        <f>IF(A73="","",G73*J73)</f>
        <v/>
      </c>
      <c r="L73" s="69">
        <f>IF(A73="","",IF(G73&lt;=0,"CRÍTICO",IF(G73&lt;=H73,"REPOR","OK")))</f>
        <v/>
      </c>
      <c r="M73" s="67">
        <f>IF(A73="","",IF(L73="OK",0,MAX(0,I73-G73)))</f>
        <v/>
      </c>
      <c r="N73" s="71">
        <f>IF(A73="","",IF(H73&gt;0,G73/H73,99))</f>
        <v/>
      </c>
      <c r="O73" s="68">
        <f>IF(A73="","",IF(L73="OK","",N73+ROW()/100000))</f>
        <v/>
      </c>
    </row>
    <row r="74">
      <c r="A74" s="69">
        <f>IF('Produtos'!A74="","",'Produtos'!A74)</f>
        <v/>
      </c>
      <c r="B74" s="66">
        <f>IF(A74="","",'Produtos'!B74)</f>
        <v/>
      </c>
      <c r="C74" s="66">
        <f>IF(A74="","",'Produtos'!C74)</f>
        <v/>
      </c>
      <c r="D74" s="67">
        <f>IF(A74="","",'Produtos'!F74)</f>
        <v/>
      </c>
      <c r="E74" s="67">
        <f>IF(A74="","",SUMIFS('Movimentações'!$F$5:$F$1004,'Movimentações'!$C$5:$C$1004,A74,'Movimentações'!$E$5:$E$1004,"Entrada"))</f>
        <v/>
      </c>
      <c r="F74" s="67">
        <f>IF(A74="","",SUMIFS('Movimentações'!$F$5:$F$1004,'Movimentações'!$C$5:$C$1004,A74,'Movimentações'!$E$5:$E$1004,"Saída"))</f>
        <v/>
      </c>
      <c r="G74" s="67">
        <f>IF(A74="","",D74+E74-F74)</f>
        <v/>
      </c>
      <c r="H74" s="67">
        <f>IF(A74="","",'Produtos'!G74)</f>
        <v/>
      </c>
      <c r="I74" s="67">
        <f>IF(A74="","",'Produtos'!H74)</f>
        <v/>
      </c>
      <c r="J74" s="70">
        <f>IF(A74="","",'Produtos'!E74)</f>
        <v/>
      </c>
      <c r="K74" s="70">
        <f>IF(A74="","",G74*J74)</f>
        <v/>
      </c>
      <c r="L74" s="69">
        <f>IF(A74="","",IF(G74&lt;=0,"CRÍTICO",IF(G74&lt;=H74,"REPOR","OK")))</f>
        <v/>
      </c>
      <c r="M74" s="67">
        <f>IF(A74="","",IF(L74="OK",0,MAX(0,I74-G74)))</f>
        <v/>
      </c>
      <c r="N74" s="71">
        <f>IF(A74="","",IF(H74&gt;0,G74/H74,99))</f>
        <v/>
      </c>
      <c r="O74" s="68">
        <f>IF(A74="","",IF(L74="OK","",N74+ROW()/100000))</f>
        <v/>
      </c>
    </row>
    <row r="75">
      <c r="A75" s="69">
        <f>IF('Produtos'!A75="","",'Produtos'!A75)</f>
        <v/>
      </c>
      <c r="B75" s="66">
        <f>IF(A75="","",'Produtos'!B75)</f>
        <v/>
      </c>
      <c r="C75" s="66">
        <f>IF(A75="","",'Produtos'!C75)</f>
        <v/>
      </c>
      <c r="D75" s="67">
        <f>IF(A75="","",'Produtos'!F75)</f>
        <v/>
      </c>
      <c r="E75" s="67">
        <f>IF(A75="","",SUMIFS('Movimentações'!$F$5:$F$1004,'Movimentações'!$C$5:$C$1004,A75,'Movimentações'!$E$5:$E$1004,"Entrada"))</f>
        <v/>
      </c>
      <c r="F75" s="67">
        <f>IF(A75="","",SUMIFS('Movimentações'!$F$5:$F$1004,'Movimentações'!$C$5:$C$1004,A75,'Movimentações'!$E$5:$E$1004,"Saída"))</f>
        <v/>
      </c>
      <c r="G75" s="67">
        <f>IF(A75="","",D75+E75-F75)</f>
        <v/>
      </c>
      <c r="H75" s="67">
        <f>IF(A75="","",'Produtos'!G75)</f>
        <v/>
      </c>
      <c r="I75" s="67">
        <f>IF(A75="","",'Produtos'!H75)</f>
        <v/>
      </c>
      <c r="J75" s="70">
        <f>IF(A75="","",'Produtos'!E75)</f>
        <v/>
      </c>
      <c r="K75" s="70">
        <f>IF(A75="","",G75*J75)</f>
        <v/>
      </c>
      <c r="L75" s="69">
        <f>IF(A75="","",IF(G75&lt;=0,"CRÍTICO",IF(G75&lt;=H75,"REPOR","OK")))</f>
        <v/>
      </c>
      <c r="M75" s="67">
        <f>IF(A75="","",IF(L75="OK",0,MAX(0,I75-G75)))</f>
        <v/>
      </c>
      <c r="N75" s="71">
        <f>IF(A75="","",IF(H75&gt;0,G75/H75,99))</f>
        <v/>
      </c>
      <c r="O75" s="68">
        <f>IF(A75="","",IF(L75="OK","",N75+ROW()/100000))</f>
        <v/>
      </c>
    </row>
    <row r="76">
      <c r="A76" s="69">
        <f>IF('Produtos'!A76="","",'Produtos'!A76)</f>
        <v/>
      </c>
      <c r="B76" s="66">
        <f>IF(A76="","",'Produtos'!B76)</f>
        <v/>
      </c>
      <c r="C76" s="66">
        <f>IF(A76="","",'Produtos'!C76)</f>
        <v/>
      </c>
      <c r="D76" s="67">
        <f>IF(A76="","",'Produtos'!F76)</f>
        <v/>
      </c>
      <c r="E76" s="67">
        <f>IF(A76="","",SUMIFS('Movimentações'!$F$5:$F$1004,'Movimentações'!$C$5:$C$1004,A76,'Movimentações'!$E$5:$E$1004,"Entrada"))</f>
        <v/>
      </c>
      <c r="F76" s="67">
        <f>IF(A76="","",SUMIFS('Movimentações'!$F$5:$F$1004,'Movimentações'!$C$5:$C$1004,A76,'Movimentações'!$E$5:$E$1004,"Saída"))</f>
        <v/>
      </c>
      <c r="G76" s="67">
        <f>IF(A76="","",D76+E76-F76)</f>
        <v/>
      </c>
      <c r="H76" s="67">
        <f>IF(A76="","",'Produtos'!G76)</f>
        <v/>
      </c>
      <c r="I76" s="67">
        <f>IF(A76="","",'Produtos'!H76)</f>
        <v/>
      </c>
      <c r="J76" s="70">
        <f>IF(A76="","",'Produtos'!E76)</f>
        <v/>
      </c>
      <c r="K76" s="70">
        <f>IF(A76="","",G76*J76)</f>
        <v/>
      </c>
      <c r="L76" s="69">
        <f>IF(A76="","",IF(G76&lt;=0,"CRÍTICO",IF(G76&lt;=H76,"REPOR","OK")))</f>
        <v/>
      </c>
      <c r="M76" s="67">
        <f>IF(A76="","",IF(L76="OK",0,MAX(0,I76-G76)))</f>
        <v/>
      </c>
      <c r="N76" s="71">
        <f>IF(A76="","",IF(H76&gt;0,G76/H76,99))</f>
        <v/>
      </c>
      <c r="O76" s="68">
        <f>IF(A76="","",IF(L76="OK","",N76+ROW()/100000))</f>
        <v/>
      </c>
    </row>
    <row r="77">
      <c r="A77" s="69">
        <f>IF('Produtos'!A77="","",'Produtos'!A77)</f>
        <v/>
      </c>
      <c r="B77" s="66">
        <f>IF(A77="","",'Produtos'!B77)</f>
        <v/>
      </c>
      <c r="C77" s="66">
        <f>IF(A77="","",'Produtos'!C77)</f>
        <v/>
      </c>
      <c r="D77" s="67">
        <f>IF(A77="","",'Produtos'!F77)</f>
        <v/>
      </c>
      <c r="E77" s="67">
        <f>IF(A77="","",SUMIFS('Movimentações'!$F$5:$F$1004,'Movimentações'!$C$5:$C$1004,A77,'Movimentações'!$E$5:$E$1004,"Entrada"))</f>
        <v/>
      </c>
      <c r="F77" s="67">
        <f>IF(A77="","",SUMIFS('Movimentações'!$F$5:$F$1004,'Movimentações'!$C$5:$C$1004,A77,'Movimentações'!$E$5:$E$1004,"Saída"))</f>
        <v/>
      </c>
      <c r="G77" s="67">
        <f>IF(A77="","",D77+E77-F77)</f>
        <v/>
      </c>
      <c r="H77" s="67">
        <f>IF(A77="","",'Produtos'!G77)</f>
        <v/>
      </c>
      <c r="I77" s="67">
        <f>IF(A77="","",'Produtos'!H77)</f>
        <v/>
      </c>
      <c r="J77" s="70">
        <f>IF(A77="","",'Produtos'!E77)</f>
        <v/>
      </c>
      <c r="K77" s="70">
        <f>IF(A77="","",G77*J77)</f>
        <v/>
      </c>
      <c r="L77" s="69">
        <f>IF(A77="","",IF(G77&lt;=0,"CRÍTICO",IF(G77&lt;=H77,"REPOR","OK")))</f>
        <v/>
      </c>
      <c r="M77" s="67">
        <f>IF(A77="","",IF(L77="OK",0,MAX(0,I77-G77)))</f>
        <v/>
      </c>
      <c r="N77" s="71">
        <f>IF(A77="","",IF(H77&gt;0,G77/H77,99))</f>
        <v/>
      </c>
      <c r="O77" s="68">
        <f>IF(A77="","",IF(L77="OK","",N77+ROW()/100000))</f>
        <v/>
      </c>
    </row>
    <row r="78">
      <c r="A78" s="69">
        <f>IF('Produtos'!A78="","",'Produtos'!A78)</f>
        <v/>
      </c>
      <c r="B78" s="66">
        <f>IF(A78="","",'Produtos'!B78)</f>
        <v/>
      </c>
      <c r="C78" s="66">
        <f>IF(A78="","",'Produtos'!C78)</f>
        <v/>
      </c>
      <c r="D78" s="67">
        <f>IF(A78="","",'Produtos'!F78)</f>
        <v/>
      </c>
      <c r="E78" s="67">
        <f>IF(A78="","",SUMIFS('Movimentações'!$F$5:$F$1004,'Movimentações'!$C$5:$C$1004,A78,'Movimentações'!$E$5:$E$1004,"Entrada"))</f>
        <v/>
      </c>
      <c r="F78" s="67">
        <f>IF(A78="","",SUMIFS('Movimentações'!$F$5:$F$1004,'Movimentações'!$C$5:$C$1004,A78,'Movimentações'!$E$5:$E$1004,"Saída"))</f>
        <v/>
      </c>
      <c r="G78" s="67">
        <f>IF(A78="","",D78+E78-F78)</f>
        <v/>
      </c>
      <c r="H78" s="67">
        <f>IF(A78="","",'Produtos'!G78)</f>
        <v/>
      </c>
      <c r="I78" s="67">
        <f>IF(A78="","",'Produtos'!H78)</f>
        <v/>
      </c>
      <c r="J78" s="70">
        <f>IF(A78="","",'Produtos'!E78)</f>
        <v/>
      </c>
      <c r="K78" s="70">
        <f>IF(A78="","",G78*J78)</f>
        <v/>
      </c>
      <c r="L78" s="69">
        <f>IF(A78="","",IF(G78&lt;=0,"CRÍTICO",IF(G78&lt;=H78,"REPOR","OK")))</f>
        <v/>
      </c>
      <c r="M78" s="67">
        <f>IF(A78="","",IF(L78="OK",0,MAX(0,I78-G78)))</f>
        <v/>
      </c>
      <c r="N78" s="71">
        <f>IF(A78="","",IF(H78&gt;0,G78/H78,99))</f>
        <v/>
      </c>
      <c r="O78" s="68">
        <f>IF(A78="","",IF(L78="OK","",N78+ROW()/100000))</f>
        <v/>
      </c>
    </row>
    <row r="79">
      <c r="A79" s="69">
        <f>IF('Produtos'!A79="","",'Produtos'!A79)</f>
        <v/>
      </c>
      <c r="B79" s="66">
        <f>IF(A79="","",'Produtos'!B79)</f>
        <v/>
      </c>
      <c r="C79" s="66">
        <f>IF(A79="","",'Produtos'!C79)</f>
        <v/>
      </c>
      <c r="D79" s="67">
        <f>IF(A79="","",'Produtos'!F79)</f>
        <v/>
      </c>
      <c r="E79" s="67">
        <f>IF(A79="","",SUMIFS('Movimentações'!$F$5:$F$1004,'Movimentações'!$C$5:$C$1004,A79,'Movimentações'!$E$5:$E$1004,"Entrada"))</f>
        <v/>
      </c>
      <c r="F79" s="67">
        <f>IF(A79="","",SUMIFS('Movimentações'!$F$5:$F$1004,'Movimentações'!$C$5:$C$1004,A79,'Movimentações'!$E$5:$E$1004,"Saída"))</f>
        <v/>
      </c>
      <c r="G79" s="67">
        <f>IF(A79="","",D79+E79-F79)</f>
        <v/>
      </c>
      <c r="H79" s="67">
        <f>IF(A79="","",'Produtos'!G79)</f>
        <v/>
      </c>
      <c r="I79" s="67">
        <f>IF(A79="","",'Produtos'!H79)</f>
        <v/>
      </c>
      <c r="J79" s="70">
        <f>IF(A79="","",'Produtos'!E79)</f>
        <v/>
      </c>
      <c r="K79" s="70">
        <f>IF(A79="","",G79*J79)</f>
        <v/>
      </c>
      <c r="L79" s="69">
        <f>IF(A79="","",IF(G79&lt;=0,"CRÍTICO",IF(G79&lt;=H79,"REPOR","OK")))</f>
        <v/>
      </c>
      <c r="M79" s="67">
        <f>IF(A79="","",IF(L79="OK",0,MAX(0,I79-G79)))</f>
        <v/>
      </c>
      <c r="N79" s="71">
        <f>IF(A79="","",IF(H79&gt;0,G79/H79,99))</f>
        <v/>
      </c>
      <c r="O79" s="68">
        <f>IF(A79="","",IF(L79="OK","",N79+ROW()/100000))</f>
        <v/>
      </c>
    </row>
    <row r="80">
      <c r="A80" s="69">
        <f>IF('Produtos'!A80="","",'Produtos'!A80)</f>
        <v/>
      </c>
      <c r="B80" s="66">
        <f>IF(A80="","",'Produtos'!B80)</f>
        <v/>
      </c>
      <c r="C80" s="66">
        <f>IF(A80="","",'Produtos'!C80)</f>
        <v/>
      </c>
      <c r="D80" s="67">
        <f>IF(A80="","",'Produtos'!F80)</f>
        <v/>
      </c>
      <c r="E80" s="67">
        <f>IF(A80="","",SUMIFS('Movimentações'!$F$5:$F$1004,'Movimentações'!$C$5:$C$1004,A80,'Movimentações'!$E$5:$E$1004,"Entrada"))</f>
        <v/>
      </c>
      <c r="F80" s="67">
        <f>IF(A80="","",SUMIFS('Movimentações'!$F$5:$F$1004,'Movimentações'!$C$5:$C$1004,A80,'Movimentações'!$E$5:$E$1004,"Saída"))</f>
        <v/>
      </c>
      <c r="G80" s="67">
        <f>IF(A80="","",D80+E80-F80)</f>
        <v/>
      </c>
      <c r="H80" s="67">
        <f>IF(A80="","",'Produtos'!G80)</f>
        <v/>
      </c>
      <c r="I80" s="67">
        <f>IF(A80="","",'Produtos'!H80)</f>
        <v/>
      </c>
      <c r="J80" s="70">
        <f>IF(A80="","",'Produtos'!E80)</f>
        <v/>
      </c>
      <c r="K80" s="70">
        <f>IF(A80="","",G80*J80)</f>
        <v/>
      </c>
      <c r="L80" s="69">
        <f>IF(A80="","",IF(G80&lt;=0,"CRÍTICO",IF(G80&lt;=H80,"REPOR","OK")))</f>
        <v/>
      </c>
      <c r="M80" s="67">
        <f>IF(A80="","",IF(L80="OK",0,MAX(0,I80-G80)))</f>
        <v/>
      </c>
      <c r="N80" s="71">
        <f>IF(A80="","",IF(H80&gt;0,G80/H80,99))</f>
        <v/>
      </c>
      <c r="O80" s="68">
        <f>IF(A80="","",IF(L80="OK","",N80+ROW()/100000))</f>
        <v/>
      </c>
    </row>
    <row r="81">
      <c r="A81" s="69">
        <f>IF('Produtos'!A81="","",'Produtos'!A81)</f>
        <v/>
      </c>
      <c r="B81" s="66">
        <f>IF(A81="","",'Produtos'!B81)</f>
        <v/>
      </c>
      <c r="C81" s="66">
        <f>IF(A81="","",'Produtos'!C81)</f>
        <v/>
      </c>
      <c r="D81" s="67">
        <f>IF(A81="","",'Produtos'!F81)</f>
        <v/>
      </c>
      <c r="E81" s="67">
        <f>IF(A81="","",SUMIFS('Movimentações'!$F$5:$F$1004,'Movimentações'!$C$5:$C$1004,A81,'Movimentações'!$E$5:$E$1004,"Entrada"))</f>
        <v/>
      </c>
      <c r="F81" s="67">
        <f>IF(A81="","",SUMIFS('Movimentações'!$F$5:$F$1004,'Movimentações'!$C$5:$C$1004,A81,'Movimentações'!$E$5:$E$1004,"Saída"))</f>
        <v/>
      </c>
      <c r="G81" s="67">
        <f>IF(A81="","",D81+E81-F81)</f>
        <v/>
      </c>
      <c r="H81" s="67">
        <f>IF(A81="","",'Produtos'!G81)</f>
        <v/>
      </c>
      <c r="I81" s="67">
        <f>IF(A81="","",'Produtos'!H81)</f>
        <v/>
      </c>
      <c r="J81" s="70">
        <f>IF(A81="","",'Produtos'!E81)</f>
        <v/>
      </c>
      <c r="K81" s="70">
        <f>IF(A81="","",G81*J81)</f>
        <v/>
      </c>
      <c r="L81" s="69">
        <f>IF(A81="","",IF(G81&lt;=0,"CRÍTICO",IF(G81&lt;=H81,"REPOR","OK")))</f>
        <v/>
      </c>
      <c r="M81" s="67">
        <f>IF(A81="","",IF(L81="OK",0,MAX(0,I81-G81)))</f>
        <v/>
      </c>
      <c r="N81" s="71">
        <f>IF(A81="","",IF(H81&gt;0,G81/H81,99))</f>
        <v/>
      </c>
      <c r="O81" s="68">
        <f>IF(A81="","",IF(L81="OK","",N81+ROW()/100000))</f>
        <v/>
      </c>
    </row>
    <row r="82">
      <c r="A82" s="69">
        <f>IF('Produtos'!A82="","",'Produtos'!A82)</f>
        <v/>
      </c>
      <c r="B82" s="66">
        <f>IF(A82="","",'Produtos'!B82)</f>
        <v/>
      </c>
      <c r="C82" s="66">
        <f>IF(A82="","",'Produtos'!C82)</f>
        <v/>
      </c>
      <c r="D82" s="67">
        <f>IF(A82="","",'Produtos'!F82)</f>
        <v/>
      </c>
      <c r="E82" s="67">
        <f>IF(A82="","",SUMIFS('Movimentações'!$F$5:$F$1004,'Movimentações'!$C$5:$C$1004,A82,'Movimentações'!$E$5:$E$1004,"Entrada"))</f>
        <v/>
      </c>
      <c r="F82" s="67">
        <f>IF(A82="","",SUMIFS('Movimentações'!$F$5:$F$1004,'Movimentações'!$C$5:$C$1004,A82,'Movimentações'!$E$5:$E$1004,"Saída"))</f>
        <v/>
      </c>
      <c r="G82" s="67">
        <f>IF(A82="","",D82+E82-F82)</f>
        <v/>
      </c>
      <c r="H82" s="67">
        <f>IF(A82="","",'Produtos'!G82)</f>
        <v/>
      </c>
      <c r="I82" s="67">
        <f>IF(A82="","",'Produtos'!H82)</f>
        <v/>
      </c>
      <c r="J82" s="70">
        <f>IF(A82="","",'Produtos'!E82)</f>
        <v/>
      </c>
      <c r="K82" s="70">
        <f>IF(A82="","",G82*J82)</f>
        <v/>
      </c>
      <c r="L82" s="69">
        <f>IF(A82="","",IF(G82&lt;=0,"CRÍTICO",IF(G82&lt;=H82,"REPOR","OK")))</f>
        <v/>
      </c>
      <c r="M82" s="67">
        <f>IF(A82="","",IF(L82="OK",0,MAX(0,I82-G82)))</f>
        <v/>
      </c>
      <c r="N82" s="71">
        <f>IF(A82="","",IF(H82&gt;0,G82/H82,99))</f>
        <v/>
      </c>
      <c r="O82" s="68">
        <f>IF(A82="","",IF(L82="OK","",N82+ROW()/100000))</f>
        <v/>
      </c>
    </row>
    <row r="83">
      <c r="A83" s="69">
        <f>IF('Produtos'!A83="","",'Produtos'!A83)</f>
        <v/>
      </c>
      <c r="B83" s="66">
        <f>IF(A83="","",'Produtos'!B83)</f>
        <v/>
      </c>
      <c r="C83" s="66">
        <f>IF(A83="","",'Produtos'!C83)</f>
        <v/>
      </c>
      <c r="D83" s="67">
        <f>IF(A83="","",'Produtos'!F83)</f>
        <v/>
      </c>
      <c r="E83" s="67">
        <f>IF(A83="","",SUMIFS('Movimentações'!$F$5:$F$1004,'Movimentações'!$C$5:$C$1004,A83,'Movimentações'!$E$5:$E$1004,"Entrada"))</f>
        <v/>
      </c>
      <c r="F83" s="67">
        <f>IF(A83="","",SUMIFS('Movimentações'!$F$5:$F$1004,'Movimentações'!$C$5:$C$1004,A83,'Movimentações'!$E$5:$E$1004,"Saída"))</f>
        <v/>
      </c>
      <c r="G83" s="67">
        <f>IF(A83="","",D83+E83-F83)</f>
        <v/>
      </c>
      <c r="H83" s="67">
        <f>IF(A83="","",'Produtos'!G83)</f>
        <v/>
      </c>
      <c r="I83" s="67">
        <f>IF(A83="","",'Produtos'!H83)</f>
        <v/>
      </c>
      <c r="J83" s="70">
        <f>IF(A83="","",'Produtos'!E83)</f>
        <v/>
      </c>
      <c r="K83" s="70">
        <f>IF(A83="","",G83*J83)</f>
        <v/>
      </c>
      <c r="L83" s="69">
        <f>IF(A83="","",IF(G83&lt;=0,"CRÍTICO",IF(G83&lt;=H83,"REPOR","OK")))</f>
        <v/>
      </c>
      <c r="M83" s="67">
        <f>IF(A83="","",IF(L83="OK",0,MAX(0,I83-G83)))</f>
        <v/>
      </c>
      <c r="N83" s="71">
        <f>IF(A83="","",IF(H83&gt;0,G83/H83,99))</f>
        <v/>
      </c>
      <c r="O83" s="68">
        <f>IF(A83="","",IF(L83="OK","",N83+ROW()/100000))</f>
        <v/>
      </c>
    </row>
    <row r="84">
      <c r="A84" s="69">
        <f>IF('Produtos'!A84="","",'Produtos'!A84)</f>
        <v/>
      </c>
      <c r="B84" s="66">
        <f>IF(A84="","",'Produtos'!B84)</f>
        <v/>
      </c>
      <c r="C84" s="66">
        <f>IF(A84="","",'Produtos'!C84)</f>
        <v/>
      </c>
      <c r="D84" s="67">
        <f>IF(A84="","",'Produtos'!F84)</f>
        <v/>
      </c>
      <c r="E84" s="67">
        <f>IF(A84="","",SUMIFS('Movimentações'!$F$5:$F$1004,'Movimentações'!$C$5:$C$1004,A84,'Movimentações'!$E$5:$E$1004,"Entrada"))</f>
        <v/>
      </c>
      <c r="F84" s="67">
        <f>IF(A84="","",SUMIFS('Movimentações'!$F$5:$F$1004,'Movimentações'!$C$5:$C$1004,A84,'Movimentações'!$E$5:$E$1004,"Saída"))</f>
        <v/>
      </c>
      <c r="G84" s="67">
        <f>IF(A84="","",D84+E84-F84)</f>
        <v/>
      </c>
      <c r="H84" s="67">
        <f>IF(A84="","",'Produtos'!G84)</f>
        <v/>
      </c>
      <c r="I84" s="67">
        <f>IF(A84="","",'Produtos'!H84)</f>
        <v/>
      </c>
      <c r="J84" s="70">
        <f>IF(A84="","",'Produtos'!E84)</f>
        <v/>
      </c>
      <c r="K84" s="70">
        <f>IF(A84="","",G84*J84)</f>
        <v/>
      </c>
      <c r="L84" s="69">
        <f>IF(A84="","",IF(G84&lt;=0,"CRÍTICO",IF(G84&lt;=H84,"REPOR","OK")))</f>
        <v/>
      </c>
      <c r="M84" s="67">
        <f>IF(A84="","",IF(L84="OK",0,MAX(0,I84-G84)))</f>
        <v/>
      </c>
      <c r="N84" s="71">
        <f>IF(A84="","",IF(H84&gt;0,G84/H84,99))</f>
        <v/>
      </c>
      <c r="O84" s="68">
        <f>IF(A84="","",IF(L84="OK","",N84+ROW()/100000))</f>
        <v/>
      </c>
    </row>
    <row r="85">
      <c r="A85" s="69">
        <f>IF('Produtos'!A85="","",'Produtos'!A85)</f>
        <v/>
      </c>
      <c r="B85" s="66">
        <f>IF(A85="","",'Produtos'!B85)</f>
        <v/>
      </c>
      <c r="C85" s="66">
        <f>IF(A85="","",'Produtos'!C85)</f>
        <v/>
      </c>
      <c r="D85" s="67">
        <f>IF(A85="","",'Produtos'!F85)</f>
        <v/>
      </c>
      <c r="E85" s="67">
        <f>IF(A85="","",SUMIFS('Movimentações'!$F$5:$F$1004,'Movimentações'!$C$5:$C$1004,A85,'Movimentações'!$E$5:$E$1004,"Entrada"))</f>
        <v/>
      </c>
      <c r="F85" s="67">
        <f>IF(A85="","",SUMIFS('Movimentações'!$F$5:$F$1004,'Movimentações'!$C$5:$C$1004,A85,'Movimentações'!$E$5:$E$1004,"Saída"))</f>
        <v/>
      </c>
      <c r="G85" s="67">
        <f>IF(A85="","",D85+E85-F85)</f>
        <v/>
      </c>
      <c r="H85" s="67">
        <f>IF(A85="","",'Produtos'!G85)</f>
        <v/>
      </c>
      <c r="I85" s="67">
        <f>IF(A85="","",'Produtos'!H85)</f>
        <v/>
      </c>
      <c r="J85" s="70">
        <f>IF(A85="","",'Produtos'!E85)</f>
        <v/>
      </c>
      <c r="K85" s="70">
        <f>IF(A85="","",G85*J85)</f>
        <v/>
      </c>
      <c r="L85" s="69">
        <f>IF(A85="","",IF(G85&lt;=0,"CRÍTICO",IF(G85&lt;=H85,"REPOR","OK")))</f>
        <v/>
      </c>
      <c r="M85" s="67">
        <f>IF(A85="","",IF(L85="OK",0,MAX(0,I85-G85)))</f>
        <v/>
      </c>
      <c r="N85" s="71">
        <f>IF(A85="","",IF(H85&gt;0,G85/H85,99))</f>
        <v/>
      </c>
      <c r="O85" s="68">
        <f>IF(A85="","",IF(L85="OK","",N85+ROW()/100000))</f>
        <v/>
      </c>
    </row>
    <row r="86">
      <c r="A86" s="69">
        <f>IF('Produtos'!A86="","",'Produtos'!A86)</f>
        <v/>
      </c>
      <c r="B86" s="66">
        <f>IF(A86="","",'Produtos'!B86)</f>
        <v/>
      </c>
      <c r="C86" s="66">
        <f>IF(A86="","",'Produtos'!C86)</f>
        <v/>
      </c>
      <c r="D86" s="67">
        <f>IF(A86="","",'Produtos'!F86)</f>
        <v/>
      </c>
      <c r="E86" s="67">
        <f>IF(A86="","",SUMIFS('Movimentações'!$F$5:$F$1004,'Movimentações'!$C$5:$C$1004,A86,'Movimentações'!$E$5:$E$1004,"Entrada"))</f>
        <v/>
      </c>
      <c r="F86" s="67">
        <f>IF(A86="","",SUMIFS('Movimentações'!$F$5:$F$1004,'Movimentações'!$C$5:$C$1004,A86,'Movimentações'!$E$5:$E$1004,"Saída"))</f>
        <v/>
      </c>
      <c r="G86" s="67">
        <f>IF(A86="","",D86+E86-F86)</f>
        <v/>
      </c>
      <c r="H86" s="67">
        <f>IF(A86="","",'Produtos'!G86)</f>
        <v/>
      </c>
      <c r="I86" s="67">
        <f>IF(A86="","",'Produtos'!H86)</f>
        <v/>
      </c>
      <c r="J86" s="70">
        <f>IF(A86="","",'Produtos'!E86)</f>
        <v/>
      </c>
      <c r="K86" s="70">
        <f>IF(A86="","",G86*J86)</f>
        <v/>
      </c>
      <c r="L86" s="69">
        <f>IF(A86="","",IF(G86&lt;=0,"CRÍTICO",IF(G86&lt;=H86,"REPOR","OK")))</f>
        <v/>
      </c>
      <c r="M86" s="67">
        <f>IF(A86="","",IF(L86="OK",0,MAX(0,I86-G86)))</f>
        <v/>
      </c>
      <c r="N86" s="71">
        <f>IF(A86="","",IF(H86&gt;0,G86/H86,99))</f>
        <v/>
      </c>
      <c r="O86" s="68">
        <f>IF(A86="","",IF(L86="OK","",N86+ROW()/100000))</f>
        <v/>
      </c>
    </row>
    <row r="87">
      <c r="A87" s="69">
        <f>IF('Produtos'!A87="","",'Produtos'!A87)</f>
        <v/>
      </c>
      <c r="B87" s="66">
        <f>IF(A87="","",'Produtos'!B87)</f>
        <v/>
      </c>
      <c r="C87" s="66">
        <f>IF(A87="","",'Produtos'!C87)</f>
        <v/>
      </c>
      <c r="D87" s="67">
        <f>IF(A87="","",'Produtos'!F87)</f>
        <v/>
      </c>
      <c r="E87" s="67">
        <f>IF(A87="","",SUMIFS('Movimentações'!$F$5:$F$1004,'Movimentações'!$C$5:$C$1004,A87,'Movimentações'!$E$5:$E$1004,"Entrada"))</f>
        <v/>
      </c>
      <c r="F87" s="67">
        <f>IF(A87="","",SUMIFS('Movimentações'!$F$5:$F$1004,'Movimentações'!$C$5:$C$1004,A87,'Movimentações'!$E$5:$E$1004,"Saída"))</f>
        <v/>
      </c>
      <c r="G87" s="67">
        <f>IF(A87="","",D87+E87-F87)</f>
        <v/>
      </c>
      <c r="H87" s="67">
        <f>IF(A87="","",'Produtos'!G87)</f>
        <v/>
      </c>
      <c r="I87" s="67">
        <f>IF(A87="","",'Produtos'!H87)</f>
        <v/>
      </c>
      <c r="J87" s="70">
        <f>IF(A87="","",'Produtos'!E87)</f>
        <v/>
      </c>
      <c r="K87" s="70">
        <f>IF(A87="","",G87*J87)</f>
        <v/>
      </c>
      <c r="L87" s="69">
        <f>IF(A87="","",IF(G87&lt;=0,"CRÍTICO",IF(G87&lt;=H87,"REPOR","OK")))</f>
        <v/>
      </c>
      <c r="M87" s="67">
        <f>IF(A87="","",IF(L87="OK",0,MAX(0,I87-G87)))</f>
        <v/>
      </c>
      <c r="N87" s="71">
        <f>IF(A87="","",IF(H87&gt;0,G87/H87,99))</f>
        <v/>
      </c>
      <c r="O87" s="68">
        <f>IF(A87="","",IF(L87="OK","",N87+ROW()/100000))</f>
        <v/>
      </c>
    </row>
    <row r="88">
      <c r="A88" s="69">
        <f>IF('Produtos'!A88="","",'Produtos'!A88)</f>
        <v/>
      </c>
      <c r="B88" s="66">
        <f>IF(A88="","",'Produtos'!B88)</f>
        <v/>
      </c>
      <c r="C88" s="66">
        <f>IF(A88="","",'Produtos'!C88)</f>
        <v/>
      </c>
      <c r="D88" s="67">
        <f>IF(A88="","",'Produtos'!F88)</f>
        <v/>
      </c>
      <c r="E88" s="67">
        <f>IF(A88="","",SUMIFS('Movimentações'!$F$5:$F$1004,'Movimentações'!$C$5:$C$1004,A88,'Movimentações'!$E$5:$E$1004,"Entrada"))</f>
        <v/>
      </c>
      <c r="F88" s="67">
        <f>IF(A88="","",SUMIFS('Movimentações'!$F$5:$F$1004,'Movimentações'!$C$5:$C$1004,A88,'Movimentações'!$E$5:$E$1004,"Saída"))</f>
        <v/>
      </c>
      <c r="G88" s="67">
        <f>IF(A88="","",D88+E88-F88)</f>
        <v/>
      </c>
      <c r="H88" s="67">
        <f>IF(A88="","",'Produtos'!G88)</f>
        <v/>
      </c>
      <c r="I88" s="67">
        <f>IF(A88="","",'Produtos'!H88)</f>
        <v/>
      </c>
      <c r="J88" s="70">
        <f>IF(A88="","",'Produtos'!E88)</f>
        <v/>
      </c>
      <c r="K88" s="70">
        <f>IF(A88="","",G88*J88)</f>
        <v/>
      </c>
      <c r="L88" s="69">
        <f>IF(A88="","",IF(G88&lt;=0,"CRÍTICO",IF(G88&lt;=H88,"REPOR","OK")))</f>
        <v/>
      </c>
      <c r="M88" s="67">
        <f>IF(A88="","",IF(L88="OK",0,MAX(0,I88-G88)))</f>
        <v/>
      </c>
      <c r="N88" s="71">
        <f>IF(A88="","",IF(H88&gt;0,G88/H88,99))</f>
        <v/>
      </c>
      <c r="O88" s="68">
        <f>IF(A88="","",IF(L88="OK","",N88+ROW()/100000))</f>
        <v/>
      </c>
    </row>
    <row r="89">
      <c r="A89" s="69">
        <f>IF('Produtos'!A89="","",'Produtos'!A89)</f>
        <v/>
      </c>
      <c r="B89" s="66">
        <f>IF(A89="","",'Produtos'!B89)</f>
        <v/>
      </c>
      <c r="C89" s="66">
        <f>IF(A89="","",'Produtos'!C89)</f>
        <v/>
      </c>
      <c r="D89" s="67">
        <f>IF(A89="","",'Produtos'!F89)</f>
        <v/>
      </c>
      <c r="E89" s="67">
        <f>IF(A89="","",SUMIFS('Movimentações'!$F$5:$F$1004,'Movimentações'!$C$5:$C$1004,A89,'Movimentações'!$E$5:$E$1004,"Entrada"))</f>
        <v/>
      </c>
      <c r="F89" s="67">
        <f>IF(A89="","",SUMIFS('Movimentações'!$F$5:$F$1004,'Movimentações'!$C$5:$C$1004,A89,'Movimentações'!$E$5:$E$1004,"Saída"))</f>
        <v/>
      </c>
      <c r="G89" s="67">
        <f>IF(A89="","",D89+E89-F89)</f>
        <v/>
      </c>
      <c r="H89" s="67">
        <f>IF(A89="","",'Produtos'!G89)</f>
        <v/>
      </c>
      <c r="I89" s="67">
        <f>IF(A89="","",'Produtos'!H89)</f>
        <v/>
      </c>
      <c r="J89" s="70">
        <f>IF(A89="","",'Produtos'!E89)</f>
        <v/>
      </c>
      <c r="K89" s="70">
        <f>IF(A89="","",G89*J89)</f>
        <v/>
      </c>
      <c r="L89" s="69">
        <f>IF(A89="","",IF(G89&lt;=0,"CRÍTICO",IF(G89&lt;=H89,"REPOR","OK")))</f>
        <v/>
      </c>
      <c r="M89" s="67">
        <f>IF(A89="","",IF(L89="OK",0,MAX(0,I89-G89)))</f>
        <v/>
      </c>
      <c r="N89" s="71">
        <f>IF(A89="","",IF(H89&gt;0,G89/H89,99))</f>
        <v/>
      </c>
      <c r="O89" s="68">
        <f>IF(A89="","",IF(L89="OK","",N89+ROW()/100000))</f>
        <v/>
      </c>
    </row>
    <row r="90">
      <c r="A90" s="69">
        <f>IF('Produtos'!A90="","",'Produtos'!A90)</f>
        <v/>
      </c>
      <c r="B90" s="66">
        <f>IF(A90="","",'Produtos'!B90)</f>
        <v/>
      </c>
      <c r="C90" s="66">
        <f>IF(A90="","",'Produtos'!C90)</f>
        <v/>
      </c>
      <c r="D90" s="67">
        <f>IF(A90="","",'Produtos'!F90)</f>
        <v/>
      </c>
      <c r="E90" s="67">
        <f>IF(A90="","",SUMIFS('Movimentações'!$F$5:$F$1004,'Movimentações'!$C$5:$C$1004,A90,'Movimentações'!$E$5:$E$1004,"Entrada"))</f>
        <v/>
      </c>
      <c r="F90" s="67">
        <f>IF(A90="","",SUMIFS('Movimentações'!$F$5:$F$1004,'Movimentações'!$C$5:$C$1004,A90,'Movimentações'!$E$5:$E$1004,"Saída"))</f>
        <v/>
      </c>
      <c r="G90" s="67">
        <f>IF(A90="","",D90+E90-F90)</f>
        <v/>
      </c>
      <c r="H90" s="67">
        <f>IF(A90="","",'Produtos'!G90)</f>
        <v/>
      </c>
      <c r="I90" s="67">
        <f>IF(A90="","",'Produtos'!H90)</f>
        <v/>
      </c>
      <c r="J90" s="70">
        <f>IF(A90="","",'Produtos'!E90)</f>
        <v/>
      </c>
      <c r="K90" s="70">
        <f>IF(A90="","",G90*J90)</f>
        <v/>
      </c>
      <c r="L90" s="69">
        <f>IF(A90="","",IF(G90&lt;=0,"CRÍTICO",IF(G90&lt;=H90,"REPOR","OK")))</f>
        <v/>
      </c>
      <c r="M90" s="67">
        <f>IF(A90="","",IF(L90="OK",0,MAX(0,I90-G90)))</f>
        <v/>
      </c>
      <c r="N90" s="71">
        <f>IF(A90="","",IF(H90&gt;0,G90/H90,99))</f>
        <v/>
      </c>
      <c r="O90" s="68">
        <f>IF(A90="","",IF(L90="OK","",N90+ROW()/100000))</f>
        <v/>
      </c>
    </row>
    <row r="91">
      <c r="A91" s="69">
        <f>IF('Produtos'!A91="","",'Produtos'!A91)</f>
        <v/>
      </c>
      <c r="B91" s="66">
        <f>IF(A91="","",'Produtos'!B91)</f>
        <v/>
      </c>
      <c r="C91" s="66">
        <f>IF(A91="","",'Produtos'!C91)</f>
        <v/>
      </c>
      <c r="D91" s="67">
        <f>IF(A91="","",'Produtos'!F91)</f>
        <v/>
      </c>
      <c r="E91" s="67">
        <f>IF(A91="","",SUMIFS('Movimentações'!$F$5:$F$1004,'Movimentações'!$C$5:$C$1004,A91,'Movimentações'!$E$5:$E$1004,"Entrada"))</f>
        <v/>
      </c>
      <c r="F91" s="67">
        <f>IF(A91="","",SUMIFS('Movimentações'!$F$5:$F$1004,'Movimentações'!$C$5:$C$1004,A91,'Movimentações'!$E$5:$E$1004,"Saída"))</f>
        <v/>
      </c>
      <c r="G91" s="67">
        <f>IF(A91="","",D91+E91-F91)</f>
        <v/>
      </c>
      <c r="H91" s="67">
        <f>IF(A91="","",'Produtos'!G91)</f>
        <v/>
      </c>
      <c r="I91" s="67">
        <f>IF(A91="","",'Produtos'!H91)</f>
        <v/>
      </c>
      <c r="J91" s="70">
        <f>IF(A91="","",'Produtos'!E91)</f>
        <v/>
      </c>
      <c r="K91" s="70">
        <f>IF(A91="","",G91*J91)</f>
        <v/>
      </c>
      <c r="L91" s="69">
        <f>IF(A91="","",IF(G91&lt;=0,"CRÍTICO",IF(G91&lt;=H91,"REPOR","OK")))</f>
        <v/>
      </c>
      <c r="M91" s="67">
        <f>IF(A91="","",IF(L91="OK",0,MAX(0,I91-G91)))</f>
        <v/>
      </c>
      <c r="N91" s="71">
        <f>IF(A91="","",IF(H91&gt;0,G91/H91,99))</f>
        <v/>
      </c>
      <c r="O91" s="68">
        <f>IF(A91="","",IF(L91="OK","",N91+ROW()/100000))</f>
        <v/>
      </c>
    </row>
    <row r="92">
      <c r="A92" s="69">
        <f>IF('Produtos'!A92="","",'Produtos'!A92)</f>
        <v/>
      </c>
      <c r="B92" s="66">
        <f>IF(A92="","",'Produtos'!B92)</f>
        <v/>
      </c>
      <c r="C92" s="66">
        <f>IF(A92="","",'Produtos'!C92)</f>
        <v/>
      </c>
      <c r="D92" s="67">
        <f>IF(A92="","",'Produtos'!F92)</f>
        <v/>
      </c>
      <c r="E92" s="67">
        <f>IF(A92="","",SUMIFS('Movimentações'!$F$5:$F$1004,'Movimentações'!$C$5:$C$1004,A92,'Movimentações'!$E$5:$E$1004,"Entrada"))</f>
        <v/>
      </c>
      <c r="F92" s="67">
        <f>IF(A92="","",SUMIFS('Movimentações'!$F$5:$F$1004,'Movimentações'!$C$5:$C$1004,A92,'Movimentações'!$E$5:$E$1004,"Saída"))</f>
        <v/>
      </c>
      <c r="G92" s="67">
        <f>IF(A92="","",D92+E92-F92)</f>
        <v/>
      </c>
      <c r="H92" s="67">
        <f>IF(A92="","",'Produtos'!G92)</f>
        <v/>
      </c>
      <c r="I92" s="67">
        <f>IF(A92="","",'Produtos'!H92)</f>
        <v/>
      </c>
      <c r="J92" s="70">
        <f>IF(A92="","",'Produtos'!E92)</f>
        <v/>
      </c>
      <c r="K92" s="70">
        <f>IF(A92="","",G92*J92)</f>
        <v/>
      </c>
      <c r="L92" s="69">
        <f>IF(A92="","",IF(G92&lt;=0,"CRÍTICO",IF(G92&lt;=H92,"REPOR","OK")))</f>
        <v/>
      </c>
      <c r="M92" s="67">
        <f>IF(A92="","",IF(L92="OK",0,MAX(0,I92-G92)))</f>
        <v/>
      </c>
      <c r="N92" s="71">
        <f>IF(A92="","",IF(H92&gt;0,G92/H92,99))</f>
        <v/>
      </c>
      <c r="O92" s="68">
        <f>IF(A92="","",IF(L92="OK","",N92+ROW()/100000))</f>
        <v/>
      </c>
    </row>
    <row r="93">
      <c r="A93" s="69">
        <f>IF('Produtos'!A93="","",'Produtos'!A93)</f>
        <v/>
      </c>
      <c r="B93" s="66">
        <f>IF(A93="","",'Produtos'!B93)</f>
        <v/>
      </c>
      <c r="C93" s="66">
        <f>IF(A93="","",'Produtos'!C93)</f>
        <v/>
      </c>
      <c r="D93" s="67">
        <f>IF(A93="","",'Produtos'!F93)</f>
        <v/>
      </c>
      <c r="E93" s="67">
        <f>IF(A93="","",SUMIFS('Movimentações'!$F$5:$F$1004,'Movimentações'!$C$5:$C$1004,A93,'Movimentações'!$E$5:$E$1004,"Entrada"))</f>
        <v/>
      </c>
      <c r="F93" s="67">
        <f>IF(A93="","",SUMIFS('Movimentações'!$F$5:$F$1004,'Movimentações'!$C$5:$C$1004,A93,'Movimentações'!$E$5:$E$1004,"Saída"))</f>
        <v/>
      </c>
      <c r="G93" s="67">
        <f>IF(A93="","",D93+E93-F93)</f>
        <v/>
      </c>
      <c r="H93" s="67">
        <f>IF(A93="","",'Produtos'!G93)</f>
        <v/>
      </c>
      <c r="I93" s="67">
        <f>IF(A93="","",'Produtos'!H93)</f>
        <v/>
      </c>
      <c r="J93" s="70">
        <f>IF(A93="","",'Produtos'!E93)</f>
        <v/>
      </c>
      <c r="K93" s="70">
        <f>IF(A93="","",G93*J93)</f>
        <v/>
      </c>
      <c r="L93" s="69">
        <f>IF(A93="","",IF(G93&lt;=0,"CRÍTICO",IF(G93&lt;=H93,"REPOR","OK")))</f>
        <v/>
      </c>
      <c r="M93" s="67">
        <f>IF(A93="","",IF(L93="OK",0,MAX(0,I93-G93)))</f>
        <v/>
      </c>
      <c r="N93" s="71">
        <f>IF(A93="","",IF(H93&gt;0,G93/H93,99))</f>
        <v/>
      </c>
      <c r="O93" s="68">
        <f>IF(A93="","",IF(L93="OK","",N93+ROW()/100000))</f>
        <v/>
      </c>
    </row>
    <row r="94">
      <c r="A94" s="69">
        <f>IF('Produtos'!A94="","",'Produtos'!A94)</f>
        <v/>
      </c>
      <c r="B94" s="66">
        <f>IF(A94="","",'Produtos'!B94)</f>
        <v/>
      </c>
      <c r="C94" s="66">
        <f>IF(A94="","",'Produtos'!C94)</f>
        <v/>
      </c>
      <c r="D94" s="67">
        <f>IF(A94="","",'Produtos'!F94)</f>
        <v/>
      </c>
      <c r="E94" s="67">
        <f>IF(A94="","",SUMIFS('Movimentações'!$F$5:$F$1004,'Movimentações'!$C$5:$C$1004,A94,'Movimentações'!$E$5:$E$1004,"Entrada"))</f>
        <v/>
      </c>
      <c r="F94" s="67">
        <f>IF(A94="","",SUMIFS('Movimentações'!$F$5:$F$1004,'Movimentações'!$C$5:$C$1004,A94,'Movimentações'!$E$5:$E$1004,"Saída"))</f>
        <v/>
      </c>
      <c r="G94" s="67">
        <f>IF(A94="","",D94+E94-F94)</f>
        <v/>
      </c>
      <c r="H94" s="67">
        <f>IF(A94="","",'Produtos'!G94)</f>
        <v/>
      </c>
      <c r="I94" s="67">
        <f>IF(A94="","",'Produtos'!H94)</f>
        <v/>
      </c>
      <c r="J94" s="70">
        <f>IF(A94="","",'Produtos'!E94)</f>
        <v/>
      </c>
      <c r="K94" s="70">
        <f>IF(A94="","",G94*J94)</f>
        <v/>
      </c>
      <c r="L94" s="69">
        <f>IF(A94="","",IF(G94&lt;=0,"CRÍTICO",IF(G94&lt;=H94,"REPOR","OK")))</f>
        <v/>
      </c>
      <c r="M94" s="67">
        <f>IF(A94="","",IF(L94="OK",0,MAX(0,I94-G94)))</f>
        <v/>
      </c>
      <c r="N94" s="71">
        <f>IF(A94="","",IF(H94&gt;0,G94/H94,99))</f>
        <v/>
      </c>
      <c r="O94" s="68">
        <f>IF(A94="","",IF(L94="OK","",N94+ROW()/100000))</f>
        <v/>
      </c>
    </row>
    <row r="95">
      <c r="A95" s="69">
        <f>IF('Produtos'!A95="","",'Produtos'!A95)</f>
        <v/>
      </c>
      <c r="B95" s="66">
        <f>IF(A95="","",'Produtos'!B95)</f>
        <v/>
      </c>
      <c r="C95" s="66">
        <f>IF(A95="","",'Produtos'!C95)</f>
        <v/>
      </c>
      <c r="D95" s="67">
        <f>IF(A95="","",'Produtos'!F95)</f>
        <v/>
      </c>
      <c r="E95" s="67">
        <f>IF(A95="","",SUMIFS('Movimentações'!$F$5:$F$1004,'Movimentações'!$C$5:$C$1004,A95,'Movimentações'!$E$5:$E$1004,"Entrada"))</f>
        <v/>
      </c>
      <c r="F95" s="67">
        <f>IF(A95="","",SUMIFS('Movimentações'!$F$5:$F$1004,'Movimentações'!$C$5:$C$1004,A95,'Movimentações'!$E$5:$E$1004,"Saída"))</f>
        <v/>
      </c>
      <c r="G95" s="67">
        <f>IF(A95="","",D95+E95-F95)</f>
        <v/>
      </c>
      <c r="H95" s="67">
        <f>IF(A95="","",'Produtos'!G95)</f>
        <v/>
      </c>
      <c r="I95" s="67">
        <f>IF(A95="","",'Produtos'!H95)</f>
        <v/>
      </c>
      <c r="J95" s="70">
        <f>IF(A95="","",'Produtos'!E95)</f>
        <v/>
      </c>
      <c r="K95" s="70">
        <f>IF(A95="","",G95*J95)</f>
        <v/>
      </c>
      <c r="L95" s="69">
        <f>IF(A95="","",IF(G95&lt;=0,"CRÍTICO",IF(G95&lt;=H95,"REPOR","OK")))</f>
        <v/>
      </c>
      <c r="M95" s="67">
        <f>IF(A95="","",IF(L95="OK",0,MAX(0,I95-G95)))</f>
        <v/>
      </c>
      <c r="N95" s="71">
        <f>IF(A95="","",IF(H95&gt;0,G95/H95,99))</f>
        <v/>
      </c>
      <c r="O95" s="68">
        <f>IF(A95="","",IF(L95="OK","",N95+ROW()/100000))</f>
        <v/>
      </c>
    </row>
    <row r="96">
      <c r="A96" s="69">
        <f>IF('Produtos'!A96="","",'Produtos'!A96)</f>
        <v/>
      </c>
      <c r="B96" s="66">
        <f>IF(A96="","",'Produtos'!B96)</f>
        <v/>
      </c>
      <c r="C96" s="66">
        <f>IF(A96="","",'Produtos'!C96)</f>
        <v/>
      </c>
      <c r="D96" s="67">
        <f>IF(A96="","",'Produtos'!F96)</f>
        <v/>
      </c>
      <c r="E96" s="67">
        <f>IF(A96="","",SUMIFS('Movimentações'!$F$5:$F$1004,'Movimentações'!$C$5:$C$1004,A96,'Movimentações'!$E$5:$E$1004,"Entrada"))</f>
        <v/>
      </c>
      <c r="F96" s="67">
        <f>IF(A96="","",SUMIFS('Movimentações'!$F$5:$F$1004,'Movimentações'!$C$5:$C$1004,A96,'Movimentações'!$E$5:$E$1004,"Saída"))</f>
        <v/>
      </c>
      <c r="G96" s="67">
        <f>IF(A96="","",D96+E96-F96)</f>
        <v/>
      </c>
      <c r="H96" s="67">
        <f>IF(A96="","",'Produtos'!G96)</f>
        <v/>
      </c>
      <c r="I96" s="67">
        <f>IF(A96="","",'Produtos'!H96)</f>
        <v/>
      </c>
      <c r="J96" s="70">
        <f>IF(A96="","",'Produtos'!E96)</f>
        <v/>
      </c>
      <c r="K96" s="70">
        <f>IF(A96="","",G96*J96)</f>
        <v/>
      </c>
      <c r="L96" s="69">
        <f>IF(A96="","",IF(G96&lt;=0,"CRÍTICO",IF(G96&lt;=H96,"REPOR","OK")))</f>
        <v/>
      </c>
      <c r="M96" s="67">
        <f>IF(A96="","",IF(L96="OK",0,MAX(0,I96-G96)))</f>
        <v/>
      </c>
      <c r="N96" s="71">
        <f>IF(A96="","",IF(H96&gt;0,G96/H96,99))</f>
        <v/>
      </c>
      <c r="O96" s="68">
        <f>IF(A96="","",IF(L96="OK","",N96+ROW()/100000))</f>
        <v/>
      </c>
    </row>
    <row r="97">
      <c r="A97" s="69">
        <f>IF('Produtos'!A97="","",'Produtos'!A97)</f>
        <v/>
      </c>
      <c r="B97" s="66">
        <f>IF(A97="","",'Produtos'!B97)</f>
        <v/>
      </c>
      <c r="C97" s="66">
        <f>IF(A97="","",'Produtos'!C97)</f>
        <v/>
      </c>
      <c r="D97" s="67">
        <f>IF(A97="","",'Produtos'!F97)</f>
        <v/>
      </c>
      <c r="E97" s="67">
        <f>IF(A97="","",SUMIFS('Movimentações'!$F$5:$F$1004,'Movimentações'!$C$5:$C$1004,A97,'Movimentações'!$E$5:$E$1004,"Entrada"))</f>
        <v/>
      </c>
      <c r="F97" s="67">
        <f>IF(A97="","",SUMIFS('Movimentações'!$F$5:$F$1004,'Movimentações'!$C$5:$C$1004,A97,'Movimentações'!$E$5:$E$1004,"Saída"))</f>
        <v/>
      </c>
      <c r="G97" s="67">
        <f>IF(A97="","",D97+E97-F97)</f>
        <v/>
      </c>
      <c r="H97" s="67">
        <f>IF(A97="","",'Produtos'!G97)</f>
        <v/>
      </c>
      <c r="I97" s="67">
        <f>IF(A97="","",'Produtos'!H97)</f>
        <v/>
      </c>
      <c r="J97" s="70">
        <f>IF(A97="","",'Produtos'!E97)</f>
        <v/>
      </c>
      <c r="K97" s="70">
        <f>IF(A97="","",G97*J97)</f>
        <v/>
      </c>
      <c r="L97" s="69">
        <f>IF(A97="","",IF(G97&lt;=0,"CRÍTICO",IF(G97&lt;=H97,"REPOR","OK")))</f>
        <v/>
      </c>
      <c r="M97" s="67">
        <f>IF(A97="","",IF(L97="OK",0,MAX(0,I97-G97)))</f>
        <v/>
      </c>
      <c r="N97" s="71">
        <f>IF(A97="","",IF(H97&gt;0,G97/H97,99))</f>
        <v/>
      </c>
      <c r="O97" s="68">
        <f>IF(A97="","",IF(L97="OK","",N97+ROW()/100000))</f>
        <v/>
      </c>
    </row>
    <row r="98">
      <c r="A98" s="69">
        <f>IF('Produtos'!A98="","",'Produtos'!A98)</f>
        <v/>
      </c>
      <c r="B98" s="66">
        <f>IF(A98="","",'Produtos'!B98)</f>
        <v/>
      </c>
      <c r="C98" s="66">
        <f>IF(A98="","",'Produtos'!C98)</f>
        <v/>
      </c>
      <c r="D98" s="67">
        <f>IF(A98="","",'Produtos'!F98)</f>
        <v/>
      </c>
      <c r="E98" s="67">
        <f>IF(A98="","",SUMIFS('Movimentações'!$F$5:$F$1004,'Movimentações'!$C$5:$C$1004,A98,'Movimentações'!$E$5:$E$1004,"Entrada"))</f>
        <v/>
      </c>
      <c r="F98" s="67">
        <f>IF(A98="","",SUMIFS('Movimentações'!$F$5:$F$1004,'Movimentações'!$C$5:$C$1004,A98,'Movimentações'!$E$5:$E$1004,"Saída"))</f>
        <v/>
      </c>
      <c r="G98" s="67">
        <f>IF(A98="","",D98+E98-F98)</f>
        <v/>
      </c>
      <c r="H98" s="67">
        <f>IF(A98="","",'Produtos'!G98)</f>
        <v/>
      </c>
      <c r="I98" s="67">
        <f>IF(A98="","",'Produtos'!H98)</f>
        <v/>
      </c>
      <c r="J98" s="70">
        <f>IF(A98="","",'Produtos'!E98)</f>
        <v/>
      </c>
      <c r="K98" s="70">
        <f>IF(A98="","",G98*J98)</f>
        <v/>
      </c>
      <c r="L98" s="69">
        <f>IF(A98="","",IF(G98&lt;=0,"CRÍTICO",IF(G98&lt;=H98,"REPOR","OK")))</f>
        <v/>
      </c>
      <c r="M98" s="67">
        <f>IF(A98="","",IF(L98="OK",0,MAX(0,I98-G98)))</f>
        <v/>
      </c>
      <c r="N98" s="71">
        <f>IF(A98="","",IF(H98&gt;0,G98/H98,99))</f>
        <v/>
      </c>
      <c r="O98" s="68">
        <f>IF(A98="","",IF(L98="OK","",N98+ROW()/100000))</f>
        <v/>
      </c>
    </row>
    <row r="99">
      <c r="A99" s="69">
        <f>IF('Produtos'!A99="","",'Produtos'!A99)</f>
        <v/>
      </c>
      <c r="B99" s="66">
        <f>IF(A99="","",'Produtos'!B99)</f>
        <v/>
      </c>
      <c r="C99" s="66">
        <f>IF(A99="","",'Produtos'!C99)</f>
        <v/>
      </c>
      <c r="D99" s="67">
        <f>IF(A99="","",'Produtos'!F99)</f>
        <v/>
      </c>
      <c r="E99" s="67">
        <f>IF(A99="","",SUMIFS('Movimentações'!$F$5:$F$1004,'Movimentações'!$C$5:$C$1004,A99,'Movimentações'!$E$5:$E$1004,"Entrada"))</f>
        <v/>
      </c>
      <c r="F99" s="67">
        <f>IF(A99="","",SUMIFS('Movimentações'!$F$5:$F$1004,'Movimentações'!$C$5:$C$1004,A99,'Movimentações'!$E$5:$E$1004,"Saída"))</f>
        <v/>
      </c>
      <c r="G99" s="67">
        <f>IF(A99="","",D99+E99-F99)</f>
        <v/>
      </c>
      <c r="H99" s="67">
        <f>IF(A99="","",'Produtos'!G99)</f>
        <v/>
      </c>
      <c r="I99" s="67">
        <f>IF(A99="","",'Produtos'!H99)</f>
        <v/>
      </c>
      <c r="J99" s="70">
        <f>IF(A99="","",'Produtos'!E99)</f>
        <v/>
      </c>
      <c r="K99" s="70">
        <f>IF(A99="","",G99*J99)</f>
        <v/>
      </c>
      <c r="L99" s="69">
        <f>IF(A99="","",IF(G99&lt;=0,"CRÍTICO",IF(G99&lt;=H99,"REPOR","OK")))</f>
        <v/>
      </c>
      <c r="M99" s="67">
        <f>IF(A99="","",IF(L99="OK",0,MAX(0,I99-G99)))</f>
        <v/>
      </c>
      <c r="N99" s="71">
        <f>IF(A99="","",IF(H99&gt;0,G99/H99,99))</f>
        <v/>
      </c>
      <c r="O99" s="68">
        <f>IF(A99="","",IF(L99="OK","",N99+ROW()/100000))</f>
        <v/>
      </c>
    </row>
    <row r="100">
      <c r="A100" s="69">
        <f>IF('Produtos'!A100="","",'Produtos'!A100)</f>
        <v/>
      </c>
      <c r="B100" s="66">
        <f>IF(A100="","",'Produtos'!B100)</f>
        <v/>
      </c>
      <c r="C100" s="66">
        <f>IF(A100="","",'Produtos'!C100)</f>
        <v/>
      </c>
      <c r="D100" s="67">
        <f>IF(A100="","",'Produtos'!F100)</f>
        <v/>
      </c>
      <c r="E100" s="67">
        <f>IF(A100="","",SUMIFS('Movimentações'!$F$5:$F$1004,'Movimentações'!$C$5:$C$1004,A100,'Movimentações'!$E$5:$E$1004,"Entrada"))</f>
        <v/>
      </c>
      <c r="F100" s="67">
        <f>IF(A100="","",SUMIFS('Movimentações'!$F$5:$F$1004,'Movimentações'!$C$5:$C$1004,A100,'Movimentações'!$E$5:$E$1004,"Saída"))</f>
        <v/>
      </c>
      <c r="G100" s="67">
        <f>IF(A100="","",D100+E100-F100)</f>
        <v/>
      </c>
      <c r="H100" s="67">
        <f>IF(A100="","",'Produtos'!G100)</f>
        <v/>
      </c>
      <c r="I100" s="67">
        <f>IF(A100="","",'Produtos'!H100)</f>
        <v/>
      </c>
      <c r="J100" s="70">
        <f>IF(A100="","",'Produtos'!E100)</f>
        <v/>
      </c>
      <c r="K100" s="70">
        <f>IF(A100="","",G100*J100)</f>
        <v/>
      </c>
      <c r="L100" s="69">
        <f>IF(A100="","",IF(G100&lt;=0,"CRÍTICO",IF(G100&lt;=H100,"REPOR","OK")))</f>
        <v/>
      </c>
      <c r="M100" s="67">
        <f>IF(A100="","",IF(L100="OK",0,MAX(0,I100-G100)))</f>
        <v/>
      </c>
      <c r="N100" s="71">
        <f>IF(A100="","",IF(H100&gt;0,G100/H100,99))</f>
        <v/>
      </c>
      <c r="O100" s="68">
        <f>IF(A100="","",IF(L100="OK","",N100+ROW()/100000))</f>
        <v/>
      </c>
    </row>
    <row r="101">
      <c r="A101" s="69">
        <f>IF('Produtos'!A101="","",'Produtos'!A101)</f>
        <v/>
      </c>
      <c r="B101" s="66">
        <f>IF(A101="","",'Produtos'!B101)</f>
        <v/>
      </c>
      <c r="C101" s="66">
        <f>IF(A101="","",'Produtos'!C101)</f>
        <v/>
      </c>
      <c r="D101" s="67">
        <f>IF(A101="","",'Produtos'!F101)</f>
        <v/>
      </c>
      <c r="E101" s="67">
        <f>IF(A101="","",SUMIFS('Movimentações'!$F$5:$F$1004,'Movimentações'!$C$5:$C$1004,A101,'Movimentações'!$E$5:$E$1004,"Entrada"))</f>
        <v/>
      </c>
      <c r="F101" s="67">
        <f>IF(A101="","",SUMIFS('Movimentações'!$F$5:$F$1004,'Movimentações'!$C$5:$C$1004,A101,'Movimentações'!$E$5:$E$1004,"Saída"))</f>
        <v/>
      </c>
      <c r="G101" s="67">
        <f>IF(A101="","",D101+E101-F101)</f>
        <v/>
      </c>
      <c r="H101" s="67">
        <f>IF(A101="","",'Produtos'!G101)</f>
        <v/>
      </c>
      <c r="I101" s="67">
        <f>IF(A101="","",'Produtos'!H101)</f>
        <v/>
      </c>
      <c r="J101" s="70">
        <f>IF(A101="","",'Produtos'!E101)</f>
        <v/>
      </c>
      <c r="K101" s="70">
        <f>IF(A101="","",G101*J101)</f>
        <v/>
      </c>
      <c r="L101" s="69">
        <f>IF(A101="","",IF(G101&lt;=0,"CRÍTICO",IF(G101&lt;=H101,"REPOR","OK")))</f>
        <v/>
      </c>
      <c r="M101" s="67">
        <f>IF(A101="","",IF(L101="OK",0,MAX(0,I101-G101)))</f>
        <v/>
      </c>
      <c r="N101" s="71">
        <f>IF(A101="","",IF(H101&gt;0,G101/H101,99))</f>
        <v/>
      </c>
      <c r="O101" s="68">
        <f>IF(A101="","",IF(L101="OK","",N101+ROW()/100000))</f>
        <v/>
      </c>
    </row>
    <row r="102">
      <c r="A102" s="69">
        <f>IF('Produtos'!A102="","",'Produtos'!A102)</f>
        <v/>
      </c>
      <c r="B102" s="66">
        <f>IF(A102="","",'Produtos'!B102)</f>
        <v/>
      </c>
      <c r="C102" s="66">
        <f>IF(A102="","",'Produtos'!C102)</f>
        <v/>
      </c>
      <c r="D102" s="67">
        <f>IF(A102="","",'Produtos'!F102)</f>
        <v/>
      </c>
      <c r="E102" s="67">
        <f>IF(A102="","",SUMIFS('Movimentações'!$F$5:$F$1004,'Movimentações'!$C$5:$C$1004,A102,'Movimentações'!$E$5:$E$1004,"Entrada"))</f>
        <v/>
      </c>
      <c r="F102" s="67">
        <f>IF(A102="","",SUMIFS('Movimentações'!$F$5:$F$1004,'Movimentações'!$C$5:$C$1004,A102,'Movimentações'!$E$5:$E$1004,"Saída"))</f>
        <v/>
      </c>
      <c r="G102" s="67">
        <f>IF(A102="","",D102+E102-F102)</f>
        <v/>
      </c>
      <c r="H102" s="67">
        <f>IF(A102="","",'Produtos'!G102)</f>
        <v/>
      </c>
      <c r="I102" s="67">
        <f>IF(A102="","",'Produtos'!H102)</f>
        <v/>
      </c>
      <c r="J102" s="70">
        <f>IF(A102="","",'Produtos'!E102)</f>
        <v/>
      </c>
      <c r="K102" s="70">
        <f>IF(A102="","",G102*J102)</f>
        <v/>
      </c>
      <c r="L102" s="69">
        <f>IF(A102="","",IF(G102&lt;=0,"CRÍTICO",IF(G102&lt;=H102,"REPOR","OK")))</f>
        <v/>
      </c>
      <c r="M102" s="67">
        <f>IF(A102="","",IF(L102="OK",0,MAX(0,I102-G102)))</f>
        <v/>
      </c>
      <c r="N102" s="71">
        <f>IF(A102="","",IF(H102&gt;0,G102/H102,99))</f>
        <v/>
      </c>
      <c r="O102" s="68">
        <f>IF(A102="","",IF(L102="OK","",N102+ROW()/100000))</f>
        <v/>
      </c>
    </row>
    <row r="103">
      <c r="A103" s="69">
        <f>IF('Produtos'!A103="","",'Produtos'!A103)</f>
        <v/>
      </c>
      <c r="B103" s="66">
        <f>IF(A103="","",'Produtos'!B103)</f>
        <v/>
      </c>
      <c r="C103" s="66">
        <f>IF(A103="","",'Produtos'!C103)</f>
        <v/>
      </c>
      <c r="D103" s="67">
        <f>IF(A103="","",'Produtos'!F103)</f>
        <v/>
      </c>
      <c r="E103" s="67">
        <f>IF(A103="","",SUMIFS('Movimentações'!$F$5:$F$1004,'Movimentações'!$C$5:$C$1004,A103,'Movimentações'!$E$5:$E$1004,"Entrada"))</f>
        <v/>
      </c>
      <c r="F103" s="67">
        <f>IF(A103="","",SUMIFS('Movimentações'!$F$5:$F$1004,'Movimentações'!$C$5:$C$1004,A103,'Movimentações'!$E$5:$E$1004,"Saída"))</f>
        <v/>
      </c>
      <c r="G103" s="67">
        <f>IF(A103="","",D103+E103-F103)</f>
        <v/>
      </c>
      <c r="H103" s="67">
        <f>IF(A103="","",'Produtos'!G103)</f>
        <v/>
      </c>
      <c r="I103" s="67">
        <f>IF(A103="","",'Produtos'!H103)</f>
        <v/>
      </c>
      <c r="J103" s="70">
        <f>IF(A103="","",'Produtos'!E103)</f>
        <v/>
      </c>
      <c r="K103" s="70">
        <f>IF(A103="","",G103*J103)</f>
        <v/>
      </c>
      <c r="L103" s="69">
        <f>IF(A103="","",IF(G103&lt;=0,"CRÍTICO",IF(G103&lt;=H103,"REPOR","OK")))</f>
        <v/>
      </c>
      <c r="M103" s="67">
        <f>IF(A103="","",IF(L103="OK",0,MAX(0,I103-G103)))</f>
        <v/>
      </c>
      <c r="N103" s="71">
        <f>IF(A103="","",IF(H103&gt;0,G103/H103,99))</f>
        <v/>
      </c>
      <c r="O103" s="68">
        <f>IF(A103="","",IF(L103="OK","",N103+ROW()/100000))</f>
        <v/>
      </c>
    </row>
    <row r="104">
      <c r="A104" s="69">
        <f>IF('Produtos'!A104="","",'Produtos'!A104)</f>
        <v/>
      </c>
      <c r="B104" s="66">
        <f>IF(A104="","",'Produtos'!B104)</f>
        <v/>
      </c>
      <c r="C104" s="66">
        <f>IF(A104="","",'Produtos'!C104)</f>
        <v/>
      </c>
      <c r="D104" s="67">
        <f>IF(A104="","",'Produtos'!F104)</f>
        <v/>
      </c>
      <c r="E104" s="67">
        <f>IF(A104="","",SUMIFS('Movimentações'!$F$5:$F$1004,'Movimentações'!$C$5:$C$1004,A104,'Movimentações'!$E$5:$E$1004,"Entrada"))</f>
        <v/>
      </c>
      <c r="F104" s="67">
        <f>IF(A104="","",SUMIFS('Movimentações'!$F$5:$F$1004,'Movimentações'!$C$5:$C$1004,A104,'Movimentações'!$E$5:$E$1004,"Saída"))</f>
        <v/>
      </c>
      <c r="G104" s="67">
        <f>IF(A104="","",D104+E104-F104)</f>
        <v/>
      </c>
      <c r="H104" s="67">
        <f>IF(A104="","",'Produtos'!G104)</f>
        <v/>
      </c>
      <c r="I104" s="67">
        <f>IF(A104="","",'Produtos'!H104)</f>
        <v/>
      </c>
      <c r="J104" s="70">
        <f>IF(A104="","",'Produtos'!E104)</f>
        <v/>
      </c>
      <c r="K104" s="70">
        <f>IF(A104="","",G104*J104)</f>
        <v/>
      </c>
      <c r="L104" s="69">
        <f>IF(A104="","",IF(G104&lt;=0,"CRÍTICO",IF(G104&lt;=H104,"REPOR","OK")))</f>
        <v/>
      </c>
      <c r="M104" s="67">
        <f>IF(A104="","",IF(L104="OK",0,MAX(0,I104-G104)))</f>
        <v/>
      </c>
      <c r="N104" s="71">
        <f>IF(A104="","",IF(H104&gt;0,G104/H104,99))</f>
        <v/>
      </c>
      <c r="O104" s="68">
        <f>IF(A104="","",IF(L104="OK","",N104+ROW()/100000))</f>
        <v/>
      </c>
    </row>
    <row r="105">
      <c r="A105" s="69">
        <f>IF('Produtos'!A105="","",'Produtos'!A105)</f>
        <v/>
      </c>
      <c r="B105" s="66">
        <f>IF(A105="","",'Produtos'!B105)</f>
        <v/>
      </c>
      <c r="C105" s="66">
        <f>IF(A105="","",'Produtos'!C105)</f>
        <v/>
      </c>
      <c r="D105" s="67">
        <f>IF(A105="","",'Produtos'!F105)</f>
        <v/>
      </c>
      <c r="E105" s="67">
        <f>IF(A105="","",SUMIFS('Movimentações'!$F$5:$F$1004,'Movimentações'!$C$5:$C$1004,A105,'Movimentações'!$E$5:$E$1004,"Entrada"))</f>
        <v/>
      </c>
      <c r="F105" s="67">
        <f>IF(A105="","",SUMIFS('Movimentações'!$F$5:$F$1004,'Movimentações'!$C$5:$C$1004,A105,'Movimentações'!$E$5:$E$1004,"Saída"))</f>
        <v/>
      </c>
      <c r="G105" s="67">
        <f>IF(A105="","",D105+E105-F105)</f>
        <v/>
      </c>
      <c r="H105" s="67">
        <f>IF(A105="","",'Produtos'!G105)</f>
        <v/>
      </c>
      <c r="I105" s="67">
        <f>IF(A105="","",'Produtos'!H105)</f>
        <v/>
      </c>
      <c r="J105" s="70">
        <f>IF(A105="","",'Produtos'!E105)</f>
        <v/>
      </c>
      <c r="K105" s="70">
        <f>IF(A105="","",G105*J105)</f>
        <v/>
      </c>
      <c r="L105" s="69">
        <f>IF(A105="","",IF(G105&lt;=0,"CRÍTICO",IF(G105&lt;=H105,"REPOR","OK")))</f>
        <v/>
      </c>
      <c r="M105" s="67">
        <f>IF(A105="","",IF(L105="OK",0,MAX(0,I105-G105)))</f>
        <v/>
      </c>
      <c r="N105" s="71">
        <f>IF(A105="","",IF(H105&gt;0,G105/H105,99))</f>
        <v/>
      </c>
      <c r="O105" s="68">
        <f>IF(A105="","",IF(L105="OK","",N105+ROW()/100000))</f>
        <v/>
      </c>
    </row>
    <row r="106">
      <c r="A106" s="69">
        <f>IF('Produtos'!A106="","",'Produtos'!A106)</f>
        <v/>
      </c>
      <c r="B106" s="66">
        <f>IF(A106="","",'Produtos'!B106)</f>
        <v/>
      </c>
      <c r="C106" s="66">
        <f>IF(A106="","",'Produtos'!C106)</f>
        <v/>
      </c>
      <c r="D106" s="67">
        <f>IF(A106="","",'Produtos'!F106)</f>
        <v/>
      </c>
      <c r="E106" s="67">
        <f>IF(A106="","",SUMIFS('Movimentações'!$F$5:$F$1004,'Movimentações'!$C$5:$C$1004,A106,'Movimentações'!$E$5:$E$1004,"Entrada"))</f>
        <v/>
      </c>
      <c r="F106" s="67">
        <f>IF(A106="","",SUMIFS('Movimentações'!$F$5:$F$1004,'Movimentações'!$C$5:$C$1004,A106,'Movimentações'!$E$5:$E$1004,"Saída"))</f>
        <v/>
      </c>
      <c r="G106" s="67">
        <f>IF(A106="","",D106+E106-F106)</f>
        <v/>
      </c>
      <c r="H106" s="67">
        <f>IF(A106="","",'Produtos'!G106)</f>
        <v/>
      </c>
      <c r="I106" s="67">
        <f>IF(A106="","",'Produtos'!H106)</f>
        <v/>
      </c>
      <c r="J106" s="70">
        <f>IF(A106="","",'Produtos'!E106)</f>
        <v/>
      </c>
      <c r="K106" s="70">
        <f>IF(A106="","",G106*J106)</f>
        <v/>
      </c>
      <c r="L106" s="69">
        <f>IF(A106="","",IF(G106&lt;=0,"CRÍTICO",IF(G106&lt;=H106,"REPOR","OK")))</f>
        <v/>
      </c>
      <c r="M106" s="67">
        <f>IF(A106="","",IF(L106="OK",0,MAX(0,I106-G106)))</f>
        <v/>
      </c>
      <c r="N106" s="71">
        <f>IF(A106="","",IF(H106&gt;0,G106/H106,99))</f>
        <v/>
      </c>
      <c r="O106" s="68">
        <f>IF(A106="","",IF(L106="OK","",N106+ROW()/100000))</f>
        <v/>
      </c>
    </row>
    <row r="107">
      <c r="A107" s="69">
        <f>IF('Produtos'!A107="","",'Produtos'!A107)</f>
        <v/>
      </c>
      <c r="B107" s="66">
        <f>IF(A107="","",'Produtos'!B107)</f>
        <v/>
      </c>
      <c r="C107" s="66">
        <f>IF(A107="","",'Produtos'!C107)</f>
        <v/>
      </c>
      <c r="D107" s="67">
        <f>IF(A107="","",'Produtos'!F107)</f>
        <v/>
      </c>
      <c r="E107" s="67">
        <f>IF(A107="","",SUMIFS('Movimentações'!$F$5:$F$1004,'Movimentações'!$C$5:$C$1004,A107,'Movimentações'!$E$5:$E$1004,"Entrada"))</f>
        <v/>
      </c>
      <c r="F107" s="67">
        <f>IF(A107="","",SUMIFS('Movimentações'!$F$5:$F$1004,'Movimentações'!$C$5:$C$1004,A107,'Movimentações'!$E$5:$E$1004,"Saída"))</f>
        <v/>
      </c>
      <c r="G107" s="67">
        <f>IF(A107="","",D107+E107-F107)</f>
        <v/>
      </c>
      <c r="H107" s="67">
        <f>IF(A107="","",'Produtos'!G107)</f>
        <v/>
      </c>
      <c r="I107" s="67">
        <f>IF(A107="","",'Produtos'!H107)</f>
        <v/>
      </c>
      <c r="J107" s="70">
        <f>IF(A107="","",'Produtos'!E107)</f>
        <v/>
      </c>
      <c r="K107" s="70">
        <f>IF(A107="","",G107*J107)</f>
        <v/>
      </c>
      <c r="L107" s="69">
        <f>IF(A107="","",IF(G107&lt;=0,"CRÍTICO",IF(G107&lt;=H107,"REPOR","OK")))</f>
        <v/>
      </c>
      <c r="M107" s="67">
        <f>IF(A107="","",IF(L107="OK",0,MAX(0,I107-G107)))</f>
        <v/>
      </c>
      <c r="N107" s="71">
        <f>IF(A107="","",IF(H107&gt;0,G107/H107,99))</f>
        <v/>
      </c>
      <c r="O107" s="68">
        <f>IF(A107="","",IF(L107="OK","",N107+ROW()/100000))</f>
        <v/>
      </c>
    </row>
    <row r="108">
      <c r="A108" s="69">
        <f>IF('Produtos'!A108="","",'Produtos'!A108)</f>
        <v/>
      </c>
      <c r="B108" s="66">
        <f>IF(A108="","",'Produtos'!B108)</f>
        <v/>
      </c>
      <c r="C108" s="66">
        <f>IF(A108="","",'Produtos'!C108)</f>
        <v/>
      </c>
      <c r="D108" s="67">
        <f>IF(A108="","",'Produtos'!F108)</f>
        <v/>
      </c>
      <c r="E108" s="67">
        <f>IF(A108="","",SUMIFS('Movimentações'!$F$5:$F$1004,'Movimentações'!$C$5:$C$1004,A108,'Movimentações'!$E$5:$E$1004,"Entrada"))</f>
        <v/>
      </c>
      <c r="F108" s="67">
        <f>IF(A108="","",SUMIFS('Movimentações'!$F$5:$F$1004,'Movimentações'!$C$5:$C$1004,A108,'Movimentações'!$E$5:$E$1004,"Saída"))</f>
        <v/>
      </c>
      <c r="G108" s="67">
        <f>IF(A108="","",D108+E108-F108)</f>
        <v/>
      </c>
      <c r="H108" s="67">
        <f>IF(A108="","",'Produtos'!G108)</f>
        <v/>
      </c>
      <c r="I108" s="67">
        <f>IF(A108="","",'Produtos'!H108)</f>
        <v/>
      </c>
      <c r="J108" s="70">
        <f>IF(A108="","",'Produtos'!E108)</f>
        <v/>
      </c>
      <c r="K108" s="70">
        <f>IF(A108="","",G108*J108)</f>
        <v/>
      </c>
      <c r="L108" s="69">
        <f>IF(A108="","",IF(G108&lt;=0,"CRÍTICO",IF(G108&lt;=H108,"REPOR","OK")))</f>
        <v/>
      </c>
      <c r="M108" s="67">
        <f>IF(A108="","",IF(L108="OK",0,MAX(0,I108-G108)))</f>
        <v/>
      </c>
      <c r="N108" s="71">
        <f>IF(A108="","",IF(H108&gt;0,G108/H108,99))</f>
        <v/>
      </c>
      <c r="O108" s="68">
        <f>IF(A108="","",IF(L108="OK","",N108+ROW()/100000))</f>
        <v/>
      </c>
    </row>
    <row r="109">
      <c r="A109" s="69">
        <f>IF('Produtos'!A109="","",'Produtos'!A109)</f>
        <v/>
      </c>
      <c r="B109" s="66">
        <f>IF(A109="","",'Produtos'!B109)</f>
        <v/>
      </c>
      <c r="C109" s="66">
        <f>IF(A109="","",'Produtos'!C109)</f>
        <v/>
      </c>
      <c r="D109" s="67">
        <f>IF(A109="","",'Produtos'!F109)</f>
        <v/>
      </c>
      <c r="E109" s="67">
        <f>IF(A109="","",SUMIFS('Movimentações'!$F$5:$F$1004,'Movimentações'!$C$5:$C$1004,A109,'Movimentações'!$E$5:$E$1004,"Entrada"))</f>
        <v/>
      </c>
      <c r="F109" s="67">
        <f>IF(A109="","",SUMIFS('Movimentações'!$F$5:$F$1004,'Movimentações'!$C$5:$C$1004,A109,'Movimentações'!$E$5:$E$1004,"Saída"))</f>
        <v/>
      </c>
      <c r="G109" s="67">
        <f>IF(A109="","",D109+E109-F109)</f>
        <v/>
      </c>
      <c r="H109" s="67">
        <f>IF(A109="","",'Produtos'!G109)</f>
        <v/>
      </c>
      <c r="I109" s="67">
        <f>IF(A109="","",'Produtos'!H109)</f>
        <v/>
      </c>
      <c r="J109" s="70">
        <f>IF(A109="","",'Produtos'!E109)</f>
        <v/>
      </c>
      <c r="K109" s="70">
        <f>IF(A109="","",G109*J109)</f>
        <v/>
      </c>
      <c r="L109" s="69">
        <f>IF(A109="","",IF(G109&lt;=0,"CRÍTICO",IF(G109&lt;=H109,"REPOR","OK")))</f>
        <v/>
      </c>
      <c r="M109" s="67">
        <f>IF(A109="","",IF(L109="OK",0,MAX(0,I109-G109)))</f>
        <v/>
      </c>
      <c r="N109" s="71">
        <f>IF(A109="","",IF(H109&gt;0,G109/H109,99))</f>
        <v/>
      </c>
      <c r="O109" s="68">
        <f>IF(A109="","",IF(L109="OK","",N109+ROW()/100000))</f>
        <v/>
      </c>
    </row>
    <row r="110">
      <c r="A110" s="69">
        <f>IF('Produtos'!A110="","",'Produtos'!A110)</f>
        <v/>
      </c>
      <c r="B110" s="66">
        <f>IF(A110="","",'Produtos'!B110)</f>
        <v/>
      </c>
      <c r="C110" s="66">
        <f>IF(A110="","",'Produtos'!C110)</f>
        <v/>
      </c>
      <c r="D110" s="67">
        <f>IF(A110="","",'Produtos'!F110)</f>
        <v/>
      </c>
      <c r="E110" s="67">
        <f>IF(A110="","",SUMIFS('Movimentações'!$F$5:$F$1004,'Movimentações'!$C$5:$C$1004,A110,'Movimentações'!$E$5:$E$1004,"Entrada"))</f>
        <v/>
      </c>
      <c r="F110" s="67">
        <f>IF(A110="","",SUMIFS('Movimentações'!$F$5:$F$1004,'Movimentações'!$C$5:$C$1004,A110,'Movimentações'!$E$5:$E$1004,"Saída"))</f>
        <v/>
      </c>
      <c r="G110" s="67">
        <f>IF(A110="","",D110+E110-F110)</f>
        <v/>
      </c>
      <c r="H110" s="67">
        <f>IF(A110="","",'Produtos'!G110)</f>
        <v/>
      </c>
      <c r="I110" s="67">
        <f>IF(A110="","",'Produtos'!H110)</f>
        <v/>
      </c>
      <c r="J110" s="70">
        <f>IF(A110="","",'Produtos'!E110)</f>
        <v/>
      </c>
      <c r="K110" s="70">
        <f>IF(A110="","",G110*J110)</f>
        <v/>
      </c>
      <c r="L110" s="69">
        <f>IF(A110="","",IF(G110&lt;=0,"CRÍTICO",IF(G110&lt;=H110,"REPOR","OK")))</f>
        <v/>
      </c>
      <c r="M110" s="67">
        <f>IF(A110="","",IF(L110="OK",0,MAX(0,I110-G110)))</f>
        <v/>
      </c>
      <c r="N110" s="71">
        <f>IF(A110="","",IF(H110&gt;0,G110/H110,99))</f>
        <v/>
      </c>
      <c r="O110" s="68">
        <f>IF(A110="","",IF(L110="OK","",N110+ROW()/100000))</f>
        <v/>
      </c>
    </row>
    <row r="111">
      <c r="A111" s="69">
        <f>IF('Produtos'!A111="","",'Produtos'!A111)</f>
        <v/>
      </c>
      <c r="B111" s="66">
        <f>IF(A111="","",'Produtos'!B111)</f>
        <v/>
      </c>
      <c r="C111" s="66">
        <f>IF(A111="","",'Produtos'!C111)</f>
        <v/>
      </c>
      <c r="D111" s="67">
        <f>IF(A111="","",'Produtos'!F111)</f>
        <v/>
      </c>
      <c r="E111" s="67">
        <f>IF(A111="","",SUMIFS('Movimentações'!$F$5:$F$1004,'Movimentações'!$C$5:$C$1004,A111,'Movimentações'!$E$5:$E$1004,"Entrada"))</f>
        <v/>
      </c>
      <c r="F111" s="67">
        <f>IF(A111="","",SUMIFS('Movimentações'!$F$5:$F$1004,'Movimentações'!$C$5:$C$1004,A111,'Movimentações'!$E$5:$E$1004,"Saída"))</f>
        <v/>
      </c>
      <c r="G111" s="67">
        <f>IF(A111="","",D111+E111-F111)</f>
        <v/>
      </c>
      <c r="H111" s="67">
        <f>IF(A111="","",'Produtos'!G111)</f>
        <v/>
      </c>
      <c r="I111" s="67">
        <f>IF(A111="","",'Produtos'!H111)</f>
        <v/>
      </c>
      <c r="J111" s="70">
        <f>IF(A111="","",'Produtos'!E111)</f>
        <v/>
      </c>
      <c r="K111" s="70">
        <f>IF(A111="","",G111*J111)</f>
        <v/>
      </c>
      <c r="L111" s="69">
        <f>IF(A111="","",IF(G111&lt;=0,"CRÍTICO",IF(G111&lt;=H111,"REPOR","OK")))</f>
        <v/>
      </c>
      <c r="M111" s="67">
        <f>IF(A111="","",IF(L111="OK",0,MAX(0,I111-G111)))</f>
        <v/>
      </c>
      <c r="N111" s="71">
        <f>IF(A111="","",IF(H111&gt;0,G111/H111,99))</f>
        <v/>
      </c>
      <c r="O111" s="68">
        <f>IF(A111="","",IF(L111="OK","",N111+ROW()/100000))</f>
        <v/>
      </c>
    </row>
    <row r="112">
      <c r="A112" s="69">
        <f>IF('Produtos'!A112="","",'Produtos'!A112)</f>
        <v/>
      </c>
      <c r="B112" s="66">
        <f>IF(A112="","",'Produtos'!B112)</f>
        <v/>
      </c>
      <c r="C112" s="66">
        <f>IF(A112="","",'Produtos'!C112)</f>
        <v/>
      </c>
      <c r="D112" s="67">
        <f>IF(A112="","",'Produtos'!F112)</f>
        <v/>
      </c>
      <c r="E112" s="67">
        <f>IF(A112="","",SUMIFS('Movimentações'!$F$5:$F$1004,'Movimentações'!$C$5:$C$1004,A112,'Movimentações'!$E$5:$E$1004,"Entrada"))</f>
        <v/>
      </c>
      <c r="F112" s="67">
        <f>IF(A112="","",SUMIFS('Movimentações'!$F$5:$F$1004,'Movimentações'!$C$5:$C$1004,A112,'Movimentações'!$E$5:$E$1004,"Saída"))</f>
        <v/>
      </c>
      <c r="G112" s="67">
        <f>IF(A112="","",D112+E112-F112)</f>
        <v/>
      </c>
      <c r="H112" s="67">
        <f>IF(A112="","",'Produtos'!G112)</f>
        <v/>
      </c>
      <c r="I112" s="67">
        <f>IF(A112="","",'Produtos'!H112)</f>
        <v/>
      </c>
      <c r="J112" s="70">
        <f>IF(A112="","",'Produtos'!E112)</f>
        <v/>
      </c>
      <c r="K112" s="70">
        <f>IF(A112="","",G112*J112)</f>
        <v/>
      </c>
      <c r="L112" s="69">
        <f>IF(A112="","",IF(G112&lt;=0,"CRÍTICO",IF(G112&lt;=H112,"REPOR","OK")))</f>
        <v/>
      </c>
      <c r="M112" s="67">
        <f>IF(A112="","",IF(L112="OK",0,MAX(0,I112-G112)))</f>
        <v/>
      </c>
      <c r="N112" s="71">
        <f>IF(A112="","",IF(H112&gt;0,G112/H112,99))</f>
        <v/>
      </c>
      <c r="O112" s="68">
        <f>IF(A112="","",IF(L112="OK","",N112+ROW()/100000))</f>
        <v/>
      </c>
    </row>
    <row r="113">
      <c r="A113" s="69">
        <f>IF('Produtos'!A113="","",'Produtos'!A113)</f>
        <v/>
      </c>
      <c r="B113" s="66">
        <f>IF(A113="","",'Produtos'!B113)</f>
        <v/>
      </c>
      <c r="C113" s="66">
        <f>IF(A113="","",'Produtos'!C113)</f>
        <v/>
      </c>
      <c r="D113" s="67">
        <f>IF(A113="","",'Produtos'!F113)</f>
        <v/>
      </c>
      <c r="E113" s="67">
        <f>IF(A113="","",SUMIFS('Movimentações'!$F$5:$F$1004,'Movimentações'!$C$5:$C$1004,A113,'Movimentações'!$E$5:$E$1004,"Entrada"))</f>
        <v/>
      </c>
      <c r="F113" s="67">
        <f>IF(A113="","",SUMIFS('Movimentações'!$F$5:$F$1004,'Movimentações'!$C$5:$C$1004,A113,'Movimentações'!$E$5:$E$1004,"Saída"))</f>
        <v/>
      </c>
      <c r="G113" s="67">
        <f>IF(A113="","",D113+E113-F113)</f>
        <v/>
      </c>
      <c r="H113" s="67">
        <f>IF(A113="","",'Produtos'!G113)</f>
        <v/>
      </c>
      <c r="I113" s="67">
        <f>IF(A113="","",'Produtos'!H113)</f>
        <v/>
      </c>
      <c r="J113" s="70">
        <f>IF(A113="","",'Produtos'!E113)</f>
        <v/>
      </c>
      <c r="K113" s="70">
        <f>IF(A113="","",G113*J113)</f>
        <v/>
      </c>
      <c r="L113" s="69">
        <f>IF(A113="","",IF(G113&lt;=0,"CRÍTICO",IF(G113&lt;=H113,"REPOR","OK")))</f>
        <v/>
      </c>
      <c r="M113" s="67">
        <f>IF(A113="","",IF(L113="OK",0,MAX(0,I113-G113)))</f>
        <v/>
      </c>
      <c r="N113" s="71">
        <f>IF(A113="","",IF(H113&gt;0,G113/H113,99))</f>
        <v/>
      </c>
      <c r="O113" s="68">
        <f>IF(A113="","",IF(L113="OK","",N113+ROW()/100000))</f>
        <v/>
      </c>
    </row>
    <row r="114">
      <c r="A114" s="69">
        <f>IF('Produtos'!A114="","",'Produtos'!A114)</f>
        <v/>
      </c>
      <c r="B114" s="66">
        <f>IF(A114="","",'Produtos'!B114)</f>
        <v/>
      </c>
      <c r="C114" s="66">
        <f>IF(A114="","",'Produtos'!C114)</f>
        <v/>
      </c>
      <c r="D114" s="67">
        <f>IF(A114="","",'Produtos'!F114)</f>
        <v/>
      </c>
      <c r="E114" s="67">
        <f>IF(A114="","",SUMIFS('Movimentações'!$F$5:$F$1004,'Movimentações'!$C$5:$C$1004,A114,'Movimentações'!$E$5:$E$1004,"Entrada"))</f>
        <v/>
      </c>
      <c r="F114" s="67">
        <f>IF(A114="","",SUMIFS('Movimentações'!$F$5:$F$1004,'Movimentações'!$C$5:$C$1004,A114,'Movimentações'!$E$5:$E$1004,"Saída"))</f>
        <v/>
      </c>
      <c r="G114" s="67">
        <f>IF(A114="","",D114+E114-F114)</f>
        <v/>
      </c>
      <c r="H114" s="67">
        <f>IF(A114="","",'Produtos'!G114)</f>
        <v/>
      </c>
      <c r="I114" s="67">
        <f>IF(A114="","",'Produtos'!H114)</f>
        <v/>
      </c>
      <c r="J114" s="70">
        <f>IF(A114="","",'Produtos'!E114)</f>
        <v/>
      </c>
      <c r="K114" s="70">
        <f>IF(A114="","",G114*J114)</f>
        <v/>
      </c>
      <c r="L114" s="69">
        <f>IF(A114="","",IF(G114&lt;=0,"CRÍTICO",IF(G114&lt;=H114,"REPOR","OK")))</f>
        <v/>
      </c>
      <c r="M114" s="67">
        <f>IF(A114="","",IF(L114="OK",0,MAX(0,I114-G114)))</f>
        <v/>
      </c>
      <c r="N114" s="71">
        <f>IF(A114="","",IF(H114&gt;0,G114/H114,99))</f>
        <v/>
      </c>
      <c r="O114" s="68">
        <f>IF(A114="","",IF(L114="OK","",N114+ROW()/100000))</f>
        <v/>
      </c>
    </row>
    <row r="115">
      <c r="A115" s="69">
        <f>IF('Produtos'!A115="","",'Produtos'!A115)</f>
        <v/>
      </c>
      <c r="B115" s="66">
        <f>IF(A115="","",'Produtos'!B115)</f>
        <v/>
      </c>
      <c r="C115" s="66">
        <f>IF(A115="","",'Produtos'!C115)</f>
        <v/>
      </c>
      <c r="D115" s="67">
        <f>IF(A115="","",'Produtos'!F115)</f>
        <v/>
      </c>
      <c r="E115" s="67">
        <f>IF(A115="","",SUMIFS('Movimentações'!$F$5:$F$1004,'Movimentações'!$C$5:$C$1004,A115,'Movimentações'!$E$5:$E$1004,"Entrada"))</f>
        <v/>
      </c>
      <c r="F115" s="67">
        <f>IF(A115="","",SUMIFS('Movimentações'!$F$5:$F$1004,'Movimentações'!$C$5:$C$1004,A115,'Movimentações'!$E$5:$E$1004,"Saída"))</f>
        <v/>
      </c>
      <c r="G115" s="67">
        <f>IF(A115="","",D115+E115-F115)</f>
        <v/>
      </c>
      <c r="H115" s="67">
        <f>IF(A115="","",'Produtos'!G115)</f>
        <v/>
      </c>
      <c r="I115" s="67">
        <f>IF(A115="","",'Produtos'!H115)</f>
        <v/>
      </c>
      <c r="J115" s="70">
        <f>IF(A115="","",'Produtos'!E115)</f>
        <v/>
      </c>
      <c r="K115" s="70">
        <f>IF(A115="","",G115*J115)</f>
        <v/>
      </c>
      <c r="L115" s="69">
        <f>IF(A115="","",IF(G115&lt;=0,"CRÍTICO",IF(G115&lt;=H115,"REPOR","OK")))</f>
        <v/>
      </c>
      <c r="M115" s="67">
        <f>IF(A115="","",IF(L115="OK",0,MAX(0,I115-G115)))</f>
        <v/>
      </c>
      <c r="N115" s="71">
        <f>IF(A115="","",IF(H115&gt;0,G115/H115,99))</f>
        <v/>
      </c>
      <c r="O115" s="68">
        <f>IF(A115="","",IF(L115="OK","",N115+ROW()/100000))</f>
        <v/>
      </c>
    </row>
    <row r="116">
      <c r="A116" s="69">
        <f>IF('Produtos'!A116="","",'Produtos'!A116)</f>
        <v/>
      </c>
      <c r="B116" s="66">
        <f>IF(A116="","",'Produtos'!B116)</f>
        <v/>
      </c>
      <c r="C116" s="66">
        <f>IF(A116="","",'Produtos'!C116)</f>
        <v/>
      </c>
      <c r="D116" s="67">
        <f>IF(A116="","",'Produtos'!F116)</f>
        <v/>
      </c>
      <c r="E116" s="67">
        <f>IF(A116="","",SUMIFS('Movimentações'!$F$5:$F$1004,'Movimentações'!$C$5:$C$1004,A116,'Movimentações'!$E$5:$E$1004,"Entrada"))</f>
        <v/>
      </c>
      <c r="F116" s="67">
        <f>IF(A116="","",SUMIFS('Movimentações'!$F$5:$F$1004,'Movimentações'!$C$5:$C$1004,A116,'Movimentações'!$E$5:$E$1004,"Saída"))</f>
        <v/>
      </c>
      <c r="G116" s="67">
        <f>IF(A116="","",D116+E116-F116)</f>
        <v/>
      </c>
      <c r="H116" s="67">
        <f>IF(A116="","",'Produtos'!G116)</f>
        <v/>
      </c>
      <c r="I116" s="67">
        <f>IF(A116="","",'Produtos'!H116)</f>
        <v/>
      </c>
      <c r="J116" s="70">
        <f>IF(A116="","",'Produtos'!E116)</f>
        <v/>
      </c>
      <c r="K116" s="70">
        <f>IF(A116="","",G116*J116)</f>
        <v/>
      </c>
      <c r="L116" s="69">
        <f>IF(A116="","",IF(G116&lt;=0,"CRÍTICO",IF(G116&lt;=H116,"REPOR","OK")))</f>
        <v/>
      </c>
      <c r="M116" s="67">
        <f>IF(A116="","",IF(L116="OK",0,MAX(0,I116-G116)))</f>
        <v/>
      </c>
      <c r="N116" s="71">
        <f>IF(A116="","",IF(H116&gt;0,G116/H116,99))</f>
        <v/>
      </c>
      <c r="O116" s="68">
        <f>IF(A116="","",IF(L116="OK","",N116+ROW()/100000))</f>
        <v/>
      </c>
    </row>
    <row r="117">
      <c r="A117" s="69">
        <f>IF('Produtos'!A117="","",'Produtos'!A117)</f>
        <v/>
      </c>
      <c r="B117" s="66">
        <f>IF(A117="","",'Produtos'!B117)</f>
        <v/>
      </c>
      <c r="C117" s="66">
        <f>IF(A117="","",'Produtos'!C117)</f>
        <v/>
      </c>
      <c r="D117" s="67">
        <f>IF(A117="","",'Produtos'!F117)</f>
        <v/>
      </c>
      <c r="E117" s="67">
        <f>IF(A117="","",SUMIFS('Movimentações'!$F$5:$F$1004,'Movimentações'!$C$5:$C$1004,A117,'Movimentações'!$E$5:$E$1004,"Entrada"))</f>
        <v/>
      </c>
      <c r="F117" s="67">
        <f>IF(A117="","",SUMIFS('Movimentações'!$F$5:$F$1004,'Movimentações'!$C$5:$C$1004,A117,'Movimentações'!$E$5:$E$1004,"Saída"))</f>
        <v/>
      </c>
      <c r="G117" s="67">
        <f>IF(A117="","",D117+E117-F117)</f>
        <v/>
      </c>
      <c r="H117" s="67">
        <f>IF(A117="","",'Produtos'!G117)</f>
        <v/>
      </c>
      <c r="I117" s="67">
        <f>IF(A117="","",'Produtos'!H117)</f>
        <v/>
      </c>
      <c r="J117" s="70">
        <f>IF(A117="","",'Produtos'!E117)</f>
        <v/>
      </c>
      <c r="K117" s="70">
        <f>IF(A117="","",G117*J117)</f>
        <v/>
      </c>
      <c r="L117" s="69">
        <f>IF(A117="","",IF(G117&lt;=0,"CRÍTICO",IF(G117&lt;=H117,"REPOR","OK")))</f>
        <v/>
      </c>
      <c r="M117" s="67">
        <f>IF(A117="","",IF(L117="OK",0,MAX(0,I117-G117)))</f>
        <v/>
      </c>
      <c r="N117" s="71">
        <f>IF(A117="","",IF(H117&gt;0,G117/H117,99))</f>
        <v/>
      </c>
      <c r="O117" s="68">
        <f>IF(A117="","",IF(L117="OK","",N117+ROW()/100000))</f>
        <v/>
      </c>
    </row>
    <row r="118">
      <c r="A118" s="69">
        <f>IF('Produtos'!A118="","",'Produtos'!A118)</f>
        <v/>
      </c>
      <c r="B118" s="66">
        <f>IF(A118="","",'Produtos'!B118)</f>
        <v/>
      </c>
      <c r="C118" s="66">
        <f>IF(A118="","",'Produtos'!C118)</f>
        <v/>
      </c>
      <c r="D118" s="67">
        <f>IF(A118="","",'Produtos'!F118)</f>
        <v/>
      </c>
      <c r="E118" s="67">
        <f>IF(A118="","",SUMIFS('Movimentações'!$F$5:$F$1004,'Movimentações'!$C$5:$C$1004,A118,'Movimentações'!$E$5:$E$1004,"Entrada"))</f>
        <v/>
      </c>
      <c r="F118" s="67">
        <f>IF(A118="","",SUMIFS('Movimentações'!$F$5:$F$1004,'Movimentações'!$C$5:$C$1004,A118,'Movimentações'!$E$5:$E$1004,"Saída"))</f>
        <v/>
      </c>
      <c r="G118" s="67">
        <f>IF(A118="","",D118+E118-F118)</f>
        <v/>
      </c>
      <c r="H118" s="67">
        <f>IF(A118="","",'Produtos'!G118)</f>
        <v/>
      </c>
      <c r="I118" s="67">
        <f>IF(A118="","",'Produtos'!H118)</f>
        <v/>
      </c>
      <c r="J118" s="70">
        <f>IF(A118="","",'Produtos'!E118)</f>
        <v/>
      </c>
      <c r="K118" s="70">
        <f>IF(A118="","",G118*J118)</f>
        <v/>
      </c>
      <c r="L118" s="69">
        <f>IF(A118="","",IF(G118&lt;=0,"CRÍTICO",IF(G118&lt;=H118,"REPOR","OK")))</f>
        <v/>
      </c>
      <c r="M118" s="67">
        <f>IF(A118="","",IF(L118="OK",0,MAX(0,I118-G118)))</f>
        <v/>
      </c>
      <c r="N118" s="71">
        <f>IF(A118="","",IF(H118&gt;0,G118/H118,99))</f>
        <v/>
      </c>
      <c r="O118" s="68">
        <f>IF(A118="","",IF(L118="OK","",N118+ROW()/100000))</f>
        <v/>
      </c>
    </row>
    <row r="119">
      <c r="A119" s="69">
        <f>IF('Produtos'!A119="","",'Produtos'!A119)</f>
        <v/>
      </c>
      <c r="B119" s="66">
        <f>IF(A119="","",'Produtos'!B119)</f>
        <v/>
      </c>
      <c r="C119" s="66">
        <f>IF(A119="","",'Produtos'!C119)</f>
        <v/>
      </c>
      <c r="D119" s="67">
        <f>IF(A119="","",'Produtos'!F119)</f>
        <v/>
      </c>
      <c r="E119" s="67">
        <f>IF(A119="","",SUMIFS('Movimentações'!$F$5:$F$1004,'Movimentações'!$C$5:$C$1004,A119,'Movimentações'!$E$5:$E$1004,"Entrada"))</f>
        <v/>
      </c>
      <c r="F119" s="67">
        <f>IF(A119="","",SUMIFS('Movimentações'!$F$5:$F$1004,'Movimentações'!$C$5:$C$1004,A119,'Movimentações'!$E$5:$E$1004,"Saída"))</f>
        <v/>
      </c>
      <c r="G119" s="67">
        <f>IF(A119="","",D119+E119-F119)</f>
        <v/>
      </c>
      <c r="H119" s="67">
        <f>IF(A119="","",'Produtos'!G119)</f>
        <v/>
      </c>
      <c r="I119" s="67">
        <f>IF(A119="","",'Produtos'!H119)</f>
        <v/>
      </c>
      <c r="J119" s="70">
        <f>IF(A119="","",'Produtos'!E119)</f>
        <v/>
      </c>
      <c r="K119" s="70">
        <f>IF(A119="","",G119*J119)</f>
        <v/>
      </c>
      <c r="L119" s="69">
        <f>IF(A119="","",IF(G119&lt;=0,"CRÍTICO",IF(G119&lt;=H119,"REPOR","OK")))</f>
        <v/>
      </c>
      <c r="M119" s="67">
        <f>IF(A119="","",IF(L119="OK",0,MAX(0,I119-G119)))</f>
        <v/>
      </c>
      <c r="N119" s="71">
        <f>IF(A119="","",IF(H119&gt;0,G119/H119,99))</f>
        <v/>
      </c>
      <c r="O119" s="68">
        <f>IF(A119="","",IF(L119="OK","",N119+ROW()/100000))</f>
        <v/>
      </c>
    </row>
    <row r="120">
      <c r="A120" s="69">
        <f>IF('Produtos'!A120="","",'Produtos'!A120)</f>
        <v/>
      </c>
      <c r="B120" s="66">
        <f>IF(A120="","",'Produtos'!B120)</f>
        <v/>
      </c>
      <c r="C120" s="66">
        <f>IF(A120="","",'Produtos'!C120)</f>
        <v/>
      </c>
      <c r="D120" s="67">
        <f>IF(A120="","",'Produtos'!F120)</f>
        <v/>
      </c>
      <c r="E120" s="67">
        <f>IF(A120="","",SUMIFS('Movimentações'!$F$5:$F$1004,'Movimentações'!$C$5:$C$1004,A120,'Movimentações'!$E$5:$E$1004,"Entrada"))</f>
        <v/>
      </c>
      <c r="F120" s="67">
        <f>IF(A120="","",SUMIFS('Movimentações'!$F$5:$F$1004,'Movimentações'!$C$5:$C$1004,A120,'Movimentações'!$E$5:$E$1004,"Saída"))</f>
        <v/>
      </c>
      <c r="G120" s="67">
        <f>IF(A120="","",D120+E120-F120)</f>
        <v/>
      </c>
      <c r="H120" s="67">
        <f>IF(A120="","",'Produtos'!G120)</f>
        <v/>
      </c>
      <c r="I120" s="67">
        <f>IF(A120="","",'Produtos'!H120)</f>
        <v/>
      </c>
      <c r="J120" s="70">
        <f>IF(A120="","",'Produtos'!E120)</f>
        <v/>
      </c>
      <c r="K120" s="70">
        <f>IF(A120="","",G120*J120)</f>
        <v/>
      </c>
      <c r="L120" s="69">
        <f>IF(A120="","",IF(G120&lt;=0,"CRÍTICO",IF(G120&lt;=H120,"REPOR","OK")))</f>
        <v/>
      </c>
      <c r="M120" s="67">
        <f>IF(A120="","",IF(L120="OK",0,MAX(0,I120-G120)))</f>
        <v/>
      </c>
      <c r="N120" s="71">
        <f>IF(A120="","",IF(H120&gt;0,G120/H120,99))</f>
        <v/>
      </c>
      <c r="O120" s="68">
        <f>IF(A120="","",IF(L120="OK","",N120+ROW()/100000))</f>
        <v/>
      </c>
    </row>
    <row r="121">
      <c r="A121" s="69">
        <f>IF('Produtos'!A121="","",'Produtos'!A121)</f>
        <v/>
      </c>
      <c r="B121" s="66">
        <f>IF(A121="","",'Produtos'!B121)</f>
        <v/>
      </c>
      <c r="C121" s="66">
        <f>IF(A121="","",'Produtos'!C121)</f>
        <v/>
      </c>
      <c r="D121" s="67">
        <f>IF(A121="","",'Produtos'!F121)</f>
        <v/>
      </c>
      <c r="E121" s="67">
        <f>IF(A121="","",SUMIFS('Movimentações'!$F$5:$F$1004,'Movimentações'!$C$5:$C$1004,A121,'Movimentações'!$E$5:$E$1004,"Entrada"))</f>
        <v/>
      </c>
      <c r="F121" s="67">
        <f>IF(A121="","",SUMIFS('Movimentações'!$F$5:$F$1004,'Movimentações'!$C$5:$C$1004,A121,'Movimentações'!$E$5:$E$1004,"Saída"))</f>
        <v/>
      </c>
      <c r="G121" s="67">
        <f>IF(A121="","",D121+E121-F121)</f>
        <v/>
      </c>
      <c r="H121" s="67">
        <f>IF(A121="","",'Produtos'!G121)</f>
        <v/>
      </c>
      <c r="I121" s="67">
        <f>IF(A121="","",'Produtos'!H121)</f>
        <v/>
      </c>
      <c r="J121" s="70">
        <f>IF(A121="","",'Produtos'!E121)</f>
        <v/>
      </c>
      <c r="K121" s="70">
        <f>IF(A121="","",G121*J121)</f>
        <v/>
      </c>
      <c r="L121" s="69">
        <f>IF(A121="","",IF(G121&lt;=0,"CRÍTICO",IF(G121&lt;=H121,"REPOR","OK")))</f>
        <v/>
      </c>
      <c r="M121" s="67">
        <f>IF(A121="","",IF(L121="OK",0,MAX(0,I121-G121)))</f>
        <v/>
      </c>
      <c r="N121" s="71">
        <f>IF(A121="","",IF(H121&gt;0,G121/H121,99))</f>
        <v/>
      </c>
      <c r="O121" s="68">
        <f>IF(A121="","",IF(L121="OK","",N121+ROW()/100000))</f>
        <v/>
      </c>
    </row>
    <row r="122">
      <c r="A122" s="69">
        <f>IF('Produtos'!A122="","",'Produtos'!A122)</f>
        <v/>
      </c>
      <c r="B122" s="66">
        <f>IF(A122="","",'Produtos'!B122)</f>
        <v/>
      </c>
      <c r="C122" s="66">
        <f>IF(A122="","",'Produtos'!C122)</f>
        <v/>
      </c>
      <c r="D122" s="67">
        <f>IF(A122="","",'Produtos'!F122)</f>
        <v/>
      </c>
      <c r="E122" s="67">
        <f>IF(A122="","",SUMIFS('Movimentações'!$F$5:$F$1004,'Movimentações'!$C$5:$C$1004,A122,'Movimentações'!$E$5:$E$1004,"Entrada"))</f>
        <v/>
      </c>
      <c r="F122" s="67">
        <f>IF(A122="","",SUMIFS('Movimentações'!$F$5:$F$1004,'Movimentações'!$C$5:$C$1004,A122,'Movimentações'!$E$5:$E$1004,"Saída"))</f>
        <v/>
      </c>
      <c r="G122" s="67">
        <f>IF(A122="","",D122+E122-F122)</f>
        <v/>
      </c>
      <c r="H122" s="67">
        <f>IF(A122="","",'Produtos'!G122)</f>
        <v/>
      </c>
      <c r="I122" s="67">
        <f>IF(A122="","",'Produtos'!H122)</f>
        <v/>
      </c>
      <c r="J122" s="70">
        <f>IF(A122="","",'Produtos'!E122)</f>
        <v/>
      </c>
      <c r="K122" s="70">
        <f>IF(A122="","",G122*J122)</f>
        <v/>
      </c>
      <c r="L122" s="69">
        <f>IF(A122="","",IF(G122&lt;=0,"CRÍTICO",IF(G122&lt;=H122,"REPOR","OK")))</f>
        <v/>
      </c>
      <c r="M122" s="67">
        <f>IF(A122="","",IF(L122="OK",0,MAX(0,I122-G122)))</f>
        <v/>
      </c>
      <c r="N122" s="71">
        <f>IF(A122="","",IF(H122&gt;0,G122/H122,99))</f>
        <v/>
      </c>
      <c r="O122" s="68">
        <f>IF(A122="","",IF(L122="OK","",N122+ROW()/100000))</f>
        <v/>
      </c>
    </row>
    <row r="123">
      <c r="A123" s="69">
        <f>IF('Produtos'!A123="","",'Produtos'!A123)</f>
        <v/>
      </c>
      <c r="B123" s="66">
        <f>IF(A123="","",'Produtos'!B123)</f>
        <v/>
      </c>
      <c r="C123" s="66">
        <f>IF(A123="","",'Produtos'!C123)</f>
        <v/>
      </c>
      <c r="D123" s="67">
        <f>IF(A123="","",'Produtos'!F123)</f>
        <v/>
      </c>
      <c r="E123" s="67">
        <f>IF(A123="","",SUMIFS('Movimentações'!$F$5:$F$1004,'Movimentações'!$C$5:$C$1004,A123,'Movimentações'!$E$5:$E$1004,"Entrada"))</f>
        <v/>
      </c>
      <c r="F123" s="67">
        <f>IF(A123="","",SUMIFS('Movimentações'!$F$5:$F$1004,'Movimentações'!$C$5:$C$1004,A123,'Movimentações'!$E$5:$E$1004,"Saída"))</f>
        <v/>
      </c>
      <c r="G123" s="67">
        <f>IF(A123="","",D123+E123-F123)</f>
        <v/>
      </c>
      <c r="H123" s="67">
        <f>IF(A123="","",'Produtos'!G123)</f>
        <v/>
      </c>
      <c r="I123" s="67">
        <f>IF(A123="","",'Produtos'!H123)</f>
        <v/>
      </c>
      <c r="J123" s="70">
        <f>IF(A123="","",'Produtos'!E123)</f>
        <v/>
      </c>
      <c r="K123" s="70">
        <f>IF(A123="","",G123*J123)</f>
        <v/>
      </c>
      <c r="L123" s="69">
        <f>IF(A123="","",IF(G123&lt;=0,"CRÍTICO",IF(G123&lt;=H123,"REPOR","OK")))</f>
        <v/>
      </c>
      <c r="M123" s="67">
        <f>IF(A123="","",IF(L123="OK",0,MAX(0,I123-G123)))</f>
        <v/>
      </c>
      <c r="N123" s="71">
        <f>IF(A123="","",IF(H123&gt;0,G123/H123,99))</f>
        <v/>
      </c>
      <c r="O123" s="68">
        <f>IF(A123="","",IF(L123="OK","",N123+ROW()/100000))</f>
        <v/>
      </c>
    </row>
    <row r="124">
      <c r="A124" s="69">
        <f>IF('Produtos'!A124="","",'Produtos'!A124)</f>
        <v/>
      </c>
      <c r="B124" s="66">
        <f>IF(A124="","",'Produtos'!B124)</f>
        <v/>
      </c>
      <c r="C124" s="66">
        <f>IF(A124="","",'Produtos'!C124)</f>
        <v/>
      </c>
      <c r="D124" s="67">
        <f>IF(A124="","",'Produtos'!F124)</f>
        <v/>
      </c>
      <c r="E124" s="67">
        <f>IF(A124="","",SUMIFS('Movimentações'!$F$5:$F$1004,'Movimentações'!$C$5:$C$1004,A124,'Movimentações'!$E$5:$E$1004,"Entrada"))</f>
        <v/>
      </c>
      <c r="F124" s="67">
        <f>IF(A124="","",SUMIFS('Movimentações'!$F$5:$F$1004,'Movimentações'!$C$5:$C$1004,A124,'Movimentações'!$E$5:$E$1004,"Saída"))</f>
        <v/>
      </c>
      <c r="G124" s="67">
        <f>IF(A124="","",D124+E124-F124)</f>
        <v/>
      </c>
      <c r="H124" s="67">
        <f>IF(A124="","",'Produtos'!G124)</f>
        <v/>
      </c>
      <c r="I124" s="67">
        <f>IF(A124="","",'Produtos'!H124)</f>
        <v/>
      </c>
      <c r="J124" s="70">
        <f>IF(A124="","",'Produtos'!E124)</f>
        <v/>
      </c>
      <c r="K124" s="70">
        <f>IF(A124="","",G124*J124)</f>
        <v/>
      </c>
      <c r="L124" s="69">
        <f>IF(A124="","",IF(G124&lt;=0,"CRÍTICO",IF(G124&lt;=H124,"REPOR","OK")))</f>
        <v/>
      </c>
      <c r="M124" s="67">
        <f>IF(A124="","",IF(L124="OK",0,MAX(0,I124-G124)))</f>
        <v/>
      </c>
      <c r="N124" s="71">
        <f>IF(A124="","",IF(H124&gt;0,G124/H124,99))</f>
        <v/>
      </c>
      <c r="O124" s="68">
        <f>IF(A124="","",IF(L124="OK","",N124+ROW()/100000))</f>
        <v/>
      </c>
    </row>
    <row r="125">
      <c r="A125" s="69">
        <f>IF('Produtos'!A125="","",'Produtos'!A125)</f>
        <v/>
      </c>
      <c r="B125" s="66">
        <f>IF(A125="","",'Produtos'!B125)</f>
        <v/>
      </c>
      <c r="C125" s="66">
        <f>IF(A125="","",'Produtos'!C125)</f>
        <v/>
      </c>
      <c r="D125" s="67">
        <f>IF(A125="","",'Produtos'!F125)</f>
        <v/>
      </c>
      <c r="E125" s="67">
        <f>IF(A125="","",SUMIFS('Movimentações'!$F$5:$F$1004,'Movimentações'!$C$5:$C$1004,A125,'Movimentações'!$E$5:$E$1004,"Entrada"))</f>
        <v/>
      </c>
      <c r="F125" s="67">
        <f>IF(A125="","",SUMIFS('Movimentações'!$F$5:$F$1004,'Movimentações'!$C$5:$C$1004,A125,'Movimentações'!$E$5:$E$1004,"Saída"))</f>
        <v/>
      </c>
      <c r="G125" s="67">
        <f>IF(A125="","",D125+E125-F125)</f>
        <v/>
      </c>
      <c r="H125" s="67">
        <f>IF(A125="","",'Produtos'!G125)</f>
        <v/>
      </c>
      <c r="I125" s="67">
        <f>IF(A125="","",'Produtos'!H125)</f>
        <v/>
      </c>
      <c r="J125" s="70">
        <f>IF(A125="","",'Produtos'!E125)</f>
        <v/>
      </c>
      <c r="K125" s="70">
        <f>IF(A125="","",G125*J125)</f>
        <v/>
      </c>
      <c r="L125" s="69">
        <f>IF(A125="","",IF(G125&lt;=0,"CRÍTICO",IF(G125&lt;=H125,"REPOR","OK")))</f>
        <v/>
      </c>
      <c r="M125" s="67">
        <f>IF(A125="","",IF(L125="OK",0,MAX(0,I125-G125)))</f>
        <v/>
      </c>
      <c r="N125" s="71">
        <f>IF(A125="","",IF(H125&gt;0,G125/H125,99))</f>
        <v/>
      </c>
      <c r="O125" s="68">
        <f>IF(A125="","",IF(L125="OK","",N125+ROW()/100000))</f>
        <v/>
      </c>
    </row>
    <row r="126">
      <c r="A126" s="69">
        <f>IF('Produtos'!A126="","",'Produtos'!A126)</f>
        <v/>
      </c>
      <c r="B126" s="66">
        <f>IF(A126="","",'Produtos'!B126)</f>
        <v/>
      </c>
      <c r="C126" s="66">
        <f>IF(A126="","",'Produtos'!C126)</f>
        <v/>
      </c>
      <c r="D126" s="67">
        <f>IF(A126="","",'Produtos'!F126)</f>
        <v/>
      </c>
      <c r="E126" s="67">
        <f>IF(A126="","",SUMIFS('Movimentações'!$F$5:$F$1004,'Movimentações'!$C$5:$C$1004,A126,'Movimentações'!$E$5:$E$1004,"Entrada"))</f>
        <v/>
      </c>
      <c r="F126" s="67">
        <f>IF(A126="","",SUMIFS('Movimentações'!$F$5:$F$1004,'Movimentações'!$C$5:$C$1004,A126,'Movimentações'!$E$5:$E$1004,"Saída"))</f>
        <v/>
      </c>
      <c r="G126" s="67">
        <f>IF(A126="","",D126+E126-F126)</f>
        <v/>
      </c>
      <c r="H126" s="67">
        <f>IF(A126="","",'Produtos'!G126)</f>
        <v/>
      </c>
      <c r="I126" s="67">
        <f>IF(A126="","",'Produtos'!H126)</f>
        <v/>
      </c>
      <c r="J126" s="70">
        <f>IF(A126="","",'Produtos'!E126)</f>
        <v/>
      </c>
      <c r="K126" s="70">
        <f>IF(A126="","",G126*J126)</f>
        <v/>
      </c>
      <c r="L126" s="69">
        <f>IF(A126="","",IF(G126&lt;=0,"CRÍTICO",IF(G126&lt;=H126,"REPOR","OK")))</f>
        <v/>
      </c>
      <c r="M126" s="67">
        <f>IF(A126="","",IF(L126="OK",0,MAX(0,I126-G126)))</f>
        <v/>
      </c>
      <c r="N126" s="71">
        <f>IF(A126="","",IF(H126&gt;0,G126/H126,99))</f>
        <v/>
      </c>
      <c r="O126" s="68">
        <f>IF(A126="","",IF(L126="OK","",N126+ROW()/100000))</f>
        <v/>
      </c>
    </row>
    <row r="127">
      <c r="A127" s="69">
        <f>IF('Produtos'!A127="","",'Produtos'!A127)</f>
        <v/>
      </c>
      <c r="B127" s="66">
        <f>IF(A127="","",'Produtos'!B127)</f>
        <v/>
      </c>
      <c r="C127" s="66">
        <f>IF(A127="","",'Produtos'!C127)</f>
        <v/>
      </c>
      <c r="D127" s="67">
        <f>IF(A127="","",'Produtos'!F127)</f>
        <v/>
      </c>
      <c r="E127" s="67">
        <f>IF(A127="","",SUMIFS('Movimentações'!$F$5:$F$1004,'Movimentações'!$C$5:$C$1004,A127,'Movimentações'!$E$5:$E$1004,"Entrada"))</f>
        <v/>
      </c>
      <c r="F127" s="67">
        <f>IF(A127="","",SUMIFS('Movimentações'!$F$5:$F$1004,'Movimentações'!$C$5:$C$1004,A127,'Movimentações'!$E$5:$E$1004,"Saída"))</f>
        <v/>
      </c>
      <c r="G127" s="67">
        <f>IF(A127="","",D127+E127-F127)</f>
        <v/>
      </c>
      <c r="H127" s="67">
        <f>IF(A127="","",'Produtos'!G127)</f>
        <v/>
      </c>
      <c r="I127" s="67">
        <f>IF(A127="","",'Produtos'!H127)</f>
        <v/>
      </c>
      <c r="J127" s="70">
        <f>IF(A127="","",'Produtos'!E127)</f>
        <v/>
      </c>
      <c r="K127" s="70">
        <f>IF(A127="","",G127*J127)</f>
        <v/>
      </c>
      <c r="L127" s="69">
        <f>IF(A127="","",IF(G127&lt;=0,"CRÍTICO",IF(G127&lt;=H127,"REPOR","OK")))</f>
        <v/>
      </c>
      <c r="M127" s="67">
        <f>IF(A127="","",IF(L127="OK",0,MAX(0,I127-G127)))</f>
        <v/>
      </c>
      <c r="N127" s="71">
        <f>IF(A127="","",IF(H127&gt;0,G127/H127,99))</f>
        <v/>
      </c>
      <c r="O127" s="68">
        <f>IF(A127="","",IF(L127="OK","",N127+ROW()/100000))</f>
        <v/>
      </c>
    </row>
    <row r="128">
      <c r="A128" s="69">
        <f>IF('Produtos'!A128="","",'Produtos'!A128)</f>
        <v/>
      </c>
      <c r="B128" s="66">
        <f>IF(A128="","",'Produtos'!B128)</f>
        <v/>
      </c>
      <c r="C128" s="66">
        <f>IF(A128="","",'Produtos'!C128)</f>
        <v/>
      </c>
      <c r="D128" s="67">
        <f>IF(A128="","",'Produtos'!F128)</f>
        <v/>
      </c>
      <c r="E128" s="67">
        <f>IF(A128="","",SUMIFS('Movimentações'!$F$5:$F$1004,'Movimentações'!$C$5:$C$1004,A128,'Movimentações'!$E$5:$E$1004,"Entrada"))</f>
        <v/>
      </c>
      <c r="F128" s="67">
        <f>IF(A128="","",SUMIFS('Movimentações'!$F$5:$F$1004,'Movimentações'!$C$5:$C$1004,A128,'Movimentações'!$E$5:$E$1004,"Saída"))</f>
        <v/>
      </c>
      <c r="G128" s="67">
        <f>IF(A128="","",D128+E128-F128)</f>
        <v/>
      </c>
      <c r="H128" s="67">
        <f>IF(A128="","",'Produtos'!G128)</f>
        <v/>
      </c>
      <c r="I128" s="67">
        <f>IF(A128="","",'Produtos'!H128)</f>
        <v/>
      </c>
      <c r="J128" s="70">
        <f>IF(A128="","",'Produtos'!E128)</f>
        <v/>
      </c>
      <c r="K128" s="70">
        <f>IF(A128="","",G128*J128)</f>
        <v/>
      </c>
      <c r="L128" s="69">
        <f>IF(A128="","",IF(G128&lt;=0,"CRÍTICO",IF(G128&lt;=H128,"REPOR","OK")))</f>
        <v/>
      </c>
      <c r="M128" s="67">
        <f>IF(A128="","",IF(L128="OK",0,MAX(0,I128-G128)))</f>
        <v/>
      </c>
      <c r="N128" s="71">
        <f>IF(A128="","",IF(H128&gt;0,G128/H128,99))</f>
        <v/>
      </c>
      <c r="O128" s="68">
        <f>IF(A128="","",IF(L128="OK","",N128+ROW()/100000))</f>
        <v/>
      </c>
    </row>
    <row r="129">
      <c r="A129" s="69">
        <f>IF('Produtos'!A129="","",'Produtos'!A129)</f>
        <v/>
      </c>
      <c r="B129" s="66">
        <f>IF(A129="","",'Produtos'!B129)</f>
        <v/>
      </c>
      <c r="C129" s="66">
        <f>IF(A129="","",'Produtos'!C129)</f>
        <v/>
      </c>
      <c r="D129" s="67">
        <f>IF(A129="","",'Produtos'!F129)</f>
        <v/>
      </c>
      <c r="E129" s="67">
        <f>IF(A129="","",SUMIFS('Movimentações'!$F$5:$F$1004,'Movimentações'!$C$5:$C$1004,A129,'Movimentações'!$E$5:$E$1004,"Entrada"))</f>
        <v/>
      </c>
      <c r="F129" s="67">
        <f>IF(A129="","",SUMIFS('Movimentações'!$F$5:$F$1004,'Movimentações'!$C$5:$C$1004,A129,'Movimentações'!$E$5:$E$1004,"Saída"))</f>
        <v/>
      </c>
      <c r="G129" s="67">
        <f>IF(A129="","",D129+E129-F129)</f>
        <v/>
      </c>
      <c r="H129" s="67">
        <f>IF(A129="","",'Produtos'!G129)</f>
        <v/>
      </c>
      <c r="I129" s="67">
        <f>IF(A129="","",'Produtos'!H129)</f>
        <v/>
      </c>
      <c r="J129" s="70">
        <f>IF(A129="","",'Produtos'!E129)</f>
        <v/>
      </c>
      <c r="K129" s="70">
        <f>IF(A129="","",G129*J129)</f>
        <v/>
      </c>
      <c r="L129" s="69">
        <f>IF(A129="","",IF(G129&lt;=0,"CRÍTICO",IF(G129&lt;=H129,"REPOR","OK")))</f>
        <v/>
      </c>
      <c r="M129" s="67">
        <f>IF(A129="","",IF(L129="OK",0,MAX(0,I129-G129)))</f>
        <v/>
      </c>
      <c r="N129" s="71">
        <f>IF(A129="","",IF(H129&gt;0,G129/H129,99))</f>
        <v/>
      </c>
      <c r="O129" s="68">
        <f>IF(A129="","",IF(L129="OK","",N129+ROW()/100000))</f>
        <v/>
      </c>
    </row>
    <row r="130">
      <c r="A130" s="69">
        <f>IF('Produtos'!A130="","",'Produtos'!A130)</f>
        <v/>
      </c>
      <c r="B130" s="66">
        <f>IF(A130="","",'Produtos'!B130)</f>
        <v/>
      </c>
      <c r="C130" s="66">
        <f>IF(A130="","",'Produtos'!C130)</f>
        <v/>
      </c>
      <c r="D130" s="67">
        <f>IF(A130="","",'Produtos'!F130)</f>
        <v/>
      </c>
      <c r="E130" s="67">
        <f>IF(A130="","",SUMIFS('Movimentações'!$F$5:$F$1004,'Movimentações'!$C$5:$C$1004,A130,'Movimentações'!$E$5:$E$1004,"Entrada"))</f>
        <v/>
      </c>
      <c r="F130" s="67">
        <f>IF(A130="","",SUMIFS('Movimentações'!$F$5:$F$1004,'Movimentações'!$C$5:$C$1004,A130,'Movimentações'!$E$5:$E$1004,"Saída"))</f>
        <v/>
      </c>
      <c r="G130" s="67">
        <f>IF(A130="","",D130+E130-F130)</f>
        <v/>
      </c>
      <c r="H130" s="67">
        <f>IF(A130="","",'Produtos'!G130)</f>
        <v/>
      </c>
      <c r="I130" s="67">
        <f>IF(A130="","",'Produtos'!H130)</f>
        <v/>
      </c>
      <c r="J130" s="70">
        <f>IF(A130="","",'Produtos'!E130)</f>
        <v/>
      </c>
      <c r="K130" s="70">
        <f>IF(A130="","",G130*J130)</f>
        <v/>
      </c>
      <c r="L130" s="69">
        <f>IF(A130="","",IF(G130&lt;=0,"CRÍTICO",IF(G130&lt;=H130,"REPOR","OK")))</f>
        <v/>
      </c>
      <c r="M130" s="67">
        <f>IF(A130="","",IF(L130="OK",0,MAX(0,I130-G130)))</f>
        <v/>
      </c>
      <c r="N130" s="71">
        <f>IF(A130="","",IF(H130&gt;0,G130/H130,99))</f>
        <v/>
      </c>
      <c r="O130" s="68">
        <f>IF(A130="","",IF(L130="OK","",N130+ROW()/100000))</f>
        <v/>
      </c>
    </row>
    <row r="131">
      <c r="A131" s="69">
        <f>IF('Produtos'!A131="","",'Produtos'!A131)</f>
        <v/>
      </c>
      <c r="B131" s="66">
        <f>IF(A131="","",'Produtos'!B131)</f>
        <v/>
      </c>
      <c r="C131" s="66">
        <f>IF(A131="","",'Produtos'!C131)</f>
        <v/>
      </c>
      <c r="D131" s="67">
        <f>IF(A131="","",'Produtos'!F131)</f>
        <v/>
      </c>
      <c r="E131" s="67">
        <f>IF(A131="","",SUMIFS('Movimentações'!$F$5:$F$1004,'Movimentações'!$C$5:$C$1004,A131,'Movimentações'!$E$5:$E$1004,"Entrada"))</f>
        <v/>
      </c>
      <c r="F131" s="67">
        <f>IF(A131="","",SUMIFS('Movimentações'!$F$5:$F$1004,'Movimentações'!$C$5:$C$1004,A131,'Movimentações'!$E$5:$E$1004,"Saída"))</f>
        <v/>
      </c>
      <c r="G131" s="67">
        <f>IF(A131="","",D131+E131-F131)</f>
        <v/>
      </c>
      <c r="H131" s="67">
        <f>IF(A131="","",'Produtos'!G131)</f>
        <v/>
      </c>
      <c r="I131" s="67">
        <f>IF(A131="","",'Produtos'!H131)</f>
        <v/>
      </c>
      <c r="J131" s="70">
        <f>IF(A131="","",'Produtos'!E131)</f>
        <v/>
      </c>
      <c r="K131" s="70">
        <f>IF(A131="","",G131*J131)</f>
        <v/>
      </c>
      <c r="L131" s="69">
        <f>IF(A131="","",IF(G131&lt;=0,"CRÍTICO",IF(G131&lt;=H131,"REPOR","OK")))</f>
        <v/>
      </c>
      <c r="M131" s="67">
        <f>IF(A131="","",IF(L131="OK",0,MAX(0,I131-G131)))</f>
        <v/>
      </c>
      <c r="N131" s="71">
        <f>IF(A131="","",IF(H131&gt;0,G131/H131,99))</f>
        <v/>
      </c>
      <c r="O131" s="68">
        <f>IF(A131="","",IF(L131="OK","",N131+ROW()/100000))</f>
        <v/>
      </c>
    </row>
    <row r="132">
      <c r="A132" s="69">
        <f>IF('Produtos'!A132="","",'Produtos'!A132)</f>
        <v/>
      </c>
      <c r="B132" s="66">
        <f>IF(A132="","",'Produtos'!B132)</f>
        <v/>
      </c>
      <c r="C132" s="66">
        <f>IF(A132="","",'Produtos'!C132)</f>
        <v/>
      </c>
      <c r="D132" s="67">
        <f>IF(A132="","",'Produtos'!F132)</f>
        <v/>
      </c>
      <c r="E132" s="67">
        <f>IF(A132="","",SUMIFS('Movimentações'!$F$5:$F$1004,'Movimentações'!$C$5:$C$1004,A132,'Movimentações'!$E$5:$E$1004,"Entrada"))</f>
        <v/>
      </c>
      <c r="F132" s="67">
        <f>IF(A132="","",SUMIFS('Movimentações'!$F$5:$F$1004,'Movimentações'!$C$5:$C$1004,A132,'Movimentações'!$E$5:$E$1004,"Saída"))</f>
        <v/>
      </c>
      <c r="G132" s="67">
        <f>IF(A132="","",D132+E132-F132)</f>
        <v/>
      </c>
      <c r="H132" s="67">
        <f>IF(A132="","",'Produtos'!G132)</f>
        <v/>
      </c>
      <c r="I132" s="67">
        <f>IF(A132="","",'Produtos'!H132)</f>
        <v/>
      </c>
      <c r="J132" s="70">
        <f>IF(A132="","",'Produtos'!E132)</f>
        <v/>
      </c>
      <c r="K132" s="70">
        <f>IF(A132="","",G132*J132)</f>
        <v/>
      </c>
      <c r="L132" s="69">
        <f>IF(A132="","",IF(G132&lt;=0,"CRÍTICO",IF(G132&lt;=H132,"REPOR","OK")))</f>
        <v/>
      </c>
      <c r="M132" s="67">
        <f>IF(A132="","",IF(L132="OK",0,MAX(0,I132-G132)))</f>
        <v/>
      </c>
      <c r="N132" s="71">
        <f>IF(A132="","",IF(H132&gt;0,G132/H132,99))</f>
        <v/>
      </c>
      <c r="O132" s="68">
        <f>IF(A132="","",IF(L132="OK","",N132+ROW()/100000))</f>
        <v/>
      </c>
    </row>
    <row r="133">
      <c r="A133" s="69">
        <f>IF('Produtos'!A133="","",'Produtos'!A133)</f>
        <v/>
      </c>
      <c r="B133" s="66">
        <f>IF(A133="","",'Produtos'!B133)</f>
        <v/>
      </c>
      <c r="C133" s="66">
        <f>IF(A133="","",'Produtos'!C133)</f>
        <v/>
      </c>
      <c r="D133" s="67">
        <f>IF(A133="","",'Produtos'!F133)</f>
        <v/>
      </c>
      <c r="E133" s="67">
        <f>IF(A133="","",SUMIFS('Movimentações'!$F$5:$F$1004,'Movimentações'!$C$5:$C$1004,A133,'Movimentações'!$E$5:$E$1004,"Entrada"))</f>
        <v/>
      </c>
      <c r="F133" s="67">
        <f>IF(A133="","",SUMIFS('Movimentações'!$F$5:$F$1004,'Movimentações'!$C$5:$C$1004,A133,'Movimentações'!$E$5:$E$1004,"Saída"))</f>
        <v/>
      </c>
      <c r="G133" s="67">
        <f>IF(A133="","",D133+E133-F133)</f>
        <v/>
      </c>
      <c r="H133" s="67">
        <f>IF(A133="","",'Produtos'!G133)</f>
        <v/>
      </c>
      <c r="I133" s="67">
        <f>IF(A133="","",'Produtos'!H133)</f>
        <v/>
      </c>
      <c r="J133" s="70">
        <f>IF(A133="","",'Produtos'!E133)</f>
        <v/>
      </c>
      <c r="K133" s="70">
        <f>IF(A133="","",G133*J133)</f>
        <v/>
      </c>
      <c r="L133" s="69">
        <f>IF(A133="","",IF(G133&lt;=0,"CRÍTICO",IF(G133&lt;=H133,"REPOR","OK")))</f>
        <v/>
      </c>
      <c r="M133" s="67">
        <f>IF(A133="","",IF(L133="OK",0,MAX(0,I133-G133)))</f>
        <v/>
      </c>
      <c r="N133" s="71">
        <f>IF(A133="","",IF(H133&gt;0,G133/H133,99))</f>
        <v/>
      </c>
      <c r="O133" s="68">
        <f>IF(A133="","",IF(L133="OK","",N133+ROW()/100000))</f>
        <v/>
      </c>
    </row>
    <row r="134">
      <c r="A134" s="69">
        <f>IF('Produtos'!A134="","",'Produtos'!A134)</f>
        <v/>
      </c>
      <c r="B134" s="66">
        <f>IF(A134="","",'Produtos'!B134)</f>
        <v/>
      </c>
      <c r="C134" s="66">
        <f>IF(A134="","",'Produtos'!C134)</f>
        <v/>
      </c>
      <c r="D134" s="67">
        <f>IF(A134="","",'Produtos'!F134)</f>
        <v/>
      </c>
      <c r="E134" s="67">
        <f>IF(A134="","",SUMIFS('Movimentações'!$F$5:$F$1004,'Movimentações'!$C$5:$C$1004,A134,'Movimentações'!$E$5:$E$1004,"Entrada"))</f>
        <v/>
      </c>
      <c r="F134" s="67">
        <f>IF(A134="","",SUMIFS('Movimentações'!$F$5:$F$1004,'Movimentações'!$C$5:$C$1004,A134,'Movimentações'!$E$5:$E$1004,"Saída"))</f>
        <v/>
      </c>
      <c r="G134" s="67">
        <f>IF(A134="","",D134+E134-F134)</f>
        <v/>
      </c>
      <c r="H134" s="67">
        <f>IF(A134="","",'Produtos'!G134)</f>
        <v/>
      </c>
      <c r="I134" s="67">
        <f>IF(A134="","",'Produtos'!H134)</f>
        <v/>
      </c>
      <c r="J134" s="70">
        <f>IF(A134="","",'Produtos'!E134)</f>
        <v/>
      </c>
      <c r="K134" s="70">
        <f>IF(A134="","",G134*J134)</f>
        <v/>
      </c>
      <c r="L134" s="69">
        <f>IF(A134="","",IF(G134&lt;=0,"CRÍTICO",IF(G134&lt;=H134,"REPOR","OK")))</f>
        <v/>
      </c>
      <c r="M134" s="67">
        <f>IF(A134="","",IF(L134="OK",0,MAX(0,I134-G134)))</f>
        <v/>
      </c>
      <c r="N134" s="71">
        <f>IF(A134="","",IF(H134&gt;0,G134/H134,99))</f>
        <v/>
      </c>
      <c r="O134" s="68">
        <f>IF(A134="","",IF(L134="OK","",N134+ROW()/100000))</f>
        <v/>
      </c>
    </row>
    <row r="135">
      <c r="A135" s="69">
        <f>IF('Produtos'!A135="","",'Produtos'!A135)</f>
        <v/>
      </c>
      <c r="B135" s="66">
        <f>IF(A135="","",'Produtos'!B135)</f>
        <v/>
      </c>
      <c r="C135" s="66">
        <f>IF(A135="","",'Produtos'!C135)</f>
        <v/>
      </c>
      <c r="D135" s="67">
        <f>IF(A135="","",'Produtos'!F135)</f>
        <v/>
      </c>
      <c r="E135" s="67">
        <f>IF(A135="","",SUMIFS('Movimentações'!$F$5:$F$1004,'Movimentações'!$C$5:$C$1004,A135,'Movimentações'!$E$5:$E$1004,"Entrada"))</f>
        <v/>
      </c>
      <c r="F135" s="67">
        <f>IF(A135="","",SUMIFS('Movimentações'!$F$5:$F$1004,'Movimentações'!$C$5:$C$1004,A135,'Movimentações'!$E$5:$E$1004,"Saída"))</f>
        <v/>
      </c>
      <c r="G135" s="67">
        <f>IF(A135="","",D135+E135-F135)</f>
        <v/>
      </c>
      <c r="H135" s="67">
        <f>IF(A135="","",'Produtos'!G135)</f>
        <v/>
      </c>
      <c r="I135" s="67">
        <f>IF(A135="","",'Produtos'!H135)</f>
        <v/>
      </c>
      <c r="J135" s="70">
        <f>IF(A135="","",'Produtos'!E135)</f>
        <v/>
      </c>
      <c r="K135" s="70">
        <f>IF(A135="","",G135*J135)</f>
        <v/>
      </c>
      <c r="L135" s="69">
        <f>IF(A135="","",IF(G135&lt;=0,"CRÍTICO",IF(G135&lt;=H135,"REPOR","OK")))</f>
        <v/>
      </c>
      <c r="M135" s="67">
        <f>IF(A135="","",IF(L135="OK",0,MAX(0,I135-G135)))</f>
        <v/>
      </c>
      <c r="N135" s="71">
        <f>IF(A135="","",IF(H135&gt;0,G135/H135,99))</f>
        <v/>
      </c>
      <c r="O135" s="68">
        <f>IF(A135="","",IF(L135="OK","",N135+ROW()/100000))</f>
        <v/>
      </c>
    </row>
    <row r="136">
      <c r="A136" s="69">
        <f>IF('Produtos'!A136="","",'Produtos'!A136)</f>
        <v/>
      </c>
      <c r="B136" s="66">
        <f>IF(A136="","",'Produtos'!B136)</f>
        <v/>
      </c>
      <c r="C136" s="66">
        <f>IF(A136="","",'Produtos'!C136)</f>
        <v/>
      </c>
      <c r="D136" s="67">
        <f>IF(A136="","",'Produtos'!F136)</f>
        <v/>
      </c>
      <c r="E136" s="67">
        <f>IF(A136="","",SUMIFS('Movimentações'!$F$5:$F$1004,'Movimentações'!$C$5:$C$1004,A136,'Movimentações'!$E$5:$E$1004,"Entrada"))</f>
        <v/>
      </c>
      <c r="F136" s="67">
        <f>IF(A136="","",SUMIFS('Movimentações'!$F$5:$F$1004,'Movimentações'!$C$5:$C$1004,A136,'Movimentações'!$E$5:$E$1004,"Saída"))</f>
        <v/>
      </c>
      <c r="G136" s="67">
        <f>IF(A136="","",D136+E136-F136)</f>
        <v/>
      </c>
      <c r="H136" s="67">
        <f>IF(A136="","",'Produtos'!G136)</f>
        <v/>
      </c>
      <c r="I136" s="67">
        <f>IF(A136="","",'Produtos'!H136)</f>
        <v/>
      </c>
      <c r="J136" s="70">
        <f>IF(A136="","",'Produtos'!E136)</f>
        <v/>
      </c>
      <c r="K136" s="70">
        <f>IF(A136="","",G136*J136)</f>
        <v/>
      </c>
      <c r="L136" s="69">
        <f>IF(A136="","",IF(G136&lt;=0,"CRÍTICO",IF(G136&lt;=H136,"REPOR","OK")))</f>
        <v/>
      </c>
      <c r="M136" s="67">
        <f>IF(A136="","",IF(L136="OK",0,MAX(0,I136-G136)))</f>
        <v/>
      </c>
      <c r="N136" s="71">
        <f>IF(A136="","",IF(H136&gt;0,G136/H136,99))</f>
        <v/>
      </c>
      <c r="O136" s="68">
        <f>IF(A136="","",IF(L136="OK","",N136+ROW()/100000))</f>
        <v/>
      </c>
    </row>
    <row r="137">
      <c r="A137" s="69">
        <f>IF('Produtos'!A137="","",'Produtos'!A137)</f>
        <v/>
      </c>
      <c r="B137" s="66">
        <f>IF(A137="","",'Produtos'!B137)</f>
        <v/>
      </c>
      <c r="C137" s="66">
        <f>IF(A137="","",'Produtos'!C137)</f>
        <v/>
      </c>
      <c r="D137" s="67">
        <f>IF(A137="","",'Produtos'!F137)</f>
        <v/>
      </c>
      <c r="E137" s="67">
        <f>IF(A137="","",SUMIFS('Movimentações'!$F$5:$F$1004,'Movimentações'!$C$5:$C$1004,A137,'Movimentações'!$E$5:$E$1004,"Entrada"))</f>
        <v/>
      </c>
      <c r="F137" s="67">
        <f>IF(A137="","",SUMIFS('Movimentações'!$F$5:$F$1004,'Movimentações'!$C$5:$C$1004,A137,'Movimentações'!$E$5:$E$1004,"Saída"))</f>
        <v/>
      </c>
      <c r="G137" s="67">
        <f>IF(A137="","",D137+E137-F137)</f>
        <v/>
      </c>
      <c r="H137" s="67">
        <f>IF(A137="","",'Produtos'!G137)</f>
        <v/>
      </c>
      <c r="I137" s="67">
        <f>IF(A137="","",'Produtos'!H137)</f>
        <v/>
      </c>
      <c r="J137" s="70">
        <f>IF(A137="","",'Produtos'!E137)</f>
        <v/>
      </c>
      <c r="K137" s="70">
        <f>IF(A137="","",G137*J137)</f>
        <v/>
      </c>
      <c r="L137" s="69">
        <f>IF(A137="","",IF(G137&lt;=0,"CRÍTICO",IF(G137&lt;=H137,"REPOR","OK")))</f>
        <v/>
      </c>
      <c r="M137" s="67">
        <f>IF(A137="","",IF(L137="OK",0,MAX(0,I137-G137)))</f>
        <v/>
      </c>
      <c r="N137" s="71">
        <f>IF(A137="","",IF(H137&gt;0,G137/H137,99))</f>
        <v/>
      </c>
      <c r="O137" s="68">
        <f>IF(A137="","",IF(L137="OK","",N137+ROW()/100000))</f>
        <v/>
      </c>
    </row>
    <row r="138">
      <c r="A138" s="69">
        <f>IF('Produtos'!A138="","",'Produtos'!A138)</f>
        <v/>
      </c>
      <c r="B138" s="66">
        <f>IF(A138="","",'Produtos'!B138)</f>
        <v/>
      </c>
      <c r="C138" s="66">
        <f>IF(A138="","",'Produtos'!C138)</f>
        <v/>
      </c>
      <c r="D138" s="67">
        <f>IF(A138="","",'Produtos'!F138)</f>
        <v/>
      </c>
      <c r="E138" s="67">
        <f>IF(A138="","",SUMIFS('Movimentações'!$F$5:$F$1004,'Movimentações'!$C$5:$C$1004,A138,'Movimentações'!$E$5:$E$1004,"Entrada"))</f>
        <v/>
      </c>
      <c r="F138" s="67">
        <f>IF(A138="","",SUMIFS('Movimentações'!$F$5:$F$1004,'Movimentações'!$C$5:$C$1004,A138,'Movimentações'!$E$5:$E$1004,"Saída"))</f>
        <v/>
      </c>
      <c r="G138" s="67">
        <f>IF(A138="","",D138+E138-F138)</f>
        <v/>
      </c>
      <c r="H138" s="67">
        <f>IF(A138="","",'Produtos'!G138)</f>
        <v/>
      </c>
      <c r="I138" s="67">
        <f>IF(A138="","",'Produtos'!H138)</f>
        <v/>
      </c>
      <c r="J138" s="70">
        <f>IF(A138="","",'Produtos'!E138)</f>
        <v/>
      </c>
      <c r="K138" s="70">
        <f>IF(A138="","",G138*J138)</f>
        <v/>
      </c>
      <c r="L138" s="69">
        <f>IF(A138="","",IF(G138&lt;=0,"CRÍTICO",IF(G138&lt;=H138,"REPOR","OK")))</f>
        <v/>
      </c>
      <c r="M138" s="67">
        <f>IF(A138="","",IF(L138="OK",0,MAX(0,I138-G138)))</f>
        <v/>
      </c>
      <c r="N138" s="71">
        <f>IF(A138="","",IF(H138&gt;0,G138/H138,99))</f>
        <v/>
      </c>
      <c r="O138" s="68">
        <f>IF(A138="","",IF(L138="OK","",N138+ROW()/100000))</f>
        <v/>
      </c>
    </row>
    <row r="139">
      <c r="A139" s="69">
        <f>IF('Produtos'!A139="","",'Produtos'!A139)</f>
        <v/>
      </c>
      <c r="B139" s="66">
        <f>IF(A139="","",'Produtos'!B139)</f>
        <v/>
      </c>
      <c r="C139" s="66">
        <f>IF(A139="","",'Produtos'!C139)</f>
        <v/>
      </c>
      <c r="D139" s="67">
        <f>IF(A139="","",'Produtos'!F139)</f>
        <v/>
      </c>
      <c r="E139" s="67">
        <f>IF(A139="","",SUMIFS('Movimentações'!$F$5:$F$1004,'Movimentações'!$C$5:$C$1004,A139,'Movimentações'!$E$5:$E$1004,"Entrada"))</f>
        <v/>
      </c>
      <c r="F139" s="67">
        <f>IF(A139="","",SUMIFS('Movimentações'!$F$5:$F$1004,'Movimentações'!$C$5:$C$1004,A139,'Movimentações'!$E$5:$E$1004,"Saída"))</f>
        <v/>
      </c>
      <c r="G139" s="67">
        <f>IF(A139="","",D139+E139-F139)</f>
        <v/>
      </c>
      <c r="H139" s="67">
        <f>IF(A139="","",'Produtos'!G139)</f>
        <v/>
      </c>
      <c r="I139" s="67">
        <f>IF(A139="","",'Produtos'!H139)</f>
        <v/>
      </c>
      <c r="J139" s="70">
        <f>IF(A139="","",'Produtos'!E139)</f>
        <v/>
      </c>
      <c r="K139" s="70">
        <f>IF(A139="","",G139*J139)</f>
        <v/>
      </c>
      <c r="L139" s="69">
        <f>IF(A139="","",IF(G139&lt;=0,"CRÍTICO",IF(G139&lt;=H139,"REPOR","OK")))</f>
        <v/>
      </c>
      <c r="M139" s="67">
        <f>IF(A139="","",IF(L139="OK",0,MAX(0,I139-G139)))</f>
        <v/>
      </c>
      <c r="N139" s="71">
        <f>IF(A139="","",IF(H139&gt;0,G139/H139,99))</f>
        <v/>
      </c>
      <c r="O139" s="68">
        <f>IF(A139="","",IF(L139="OK","",N139+ROW()/100000))</f>
        <v/>
      </c>
    </row>
    <row r="140">
      <c r="A140" s="69">
        <f>IF('Produtos'!A140="","",'Produtos'!A140)</f>
        <v/>
      </c>
      <c r="B140" s="66">
        <f>IF(A140="","",'Produtos'!B140)</f>
        <v/>
      </c>
      <c r="C140" s="66">
        <f>IF(A140="","",'Produtos'!C140)</f>
        <v/>
      </c>
      <c r="D140" s="67">
        <f>IF(A140="","",'Produtos'!F140)</f>
        <v/>
      </c>
      <c r="E140" s="67">
        <f>IF(A140="","",SUMIFS('Movimentações'!$F$5:$F$1004,'Movimentações'!$C$5:$C$1004,A140,'Movimentações'!$E$5:$E$1004,"Entrada"))</f>
        <v/>
      </c>
      <c r="F140" s="67">
        <f>IF(A140="","",SUMIFS('Movimentações'!$F$5:$F$1004,'Movimentações'!$C$5:$C$1004,A140,'Movimentações'!$E$5:$E$1004,"Saída"))</f>
        <v/>
      </c>
      <c r="G140" s="67">
        <f>IF(A140="","",D140+E140-F140)</f>
        <v/>
      </c>
      <c r="H140" s="67">
        <f>IF(A140="","",'Produtos'!G140)</f>
        <v/>
      </c>
      <c r="I140" s="67">
        <f>IF(A140="","",'Produtos'!H140)</f>
        <v/>
      </c>
      <c r="J140" s="70">
        <f>IF(A140="","",'Produtos'!E140)</f>
        <v/>
      </c>
      <c r="K140" s="70">
        <f>IF(A140="","",G140*J140)</f>
        <v/>
      </c>
      <c r="L140" s="69">
        <f>IF(A140="","",IF(G140&lt;=0,"CRÍTICO",IF(G140&lt;=H140,"REPOR","OK")))</f>
        <v/>
      </c>
      <c r="M140" s="67">
        <f>IF(A140="","",IF(L140="OK",0,MAX(0,I140-G140)))</f>
        <v/>
      </c>
      <c r="N140" s="71">
        <f>IF(A140="","",IF(H140&gt;0,G140/H140,99))</f>
        <v/>
      </c>
      <c r="O140" s="68">
        <f>IF(A140="","",IF(L140="OK","",N140+ROW()/100000))</f>
        <v/>
      </c>
    </row>
    <row r="141">
      <c r="A141" s="69">
        <f>IF('Produtos'!A141="","",'Produtos'!A141)</f>
        <v/>
      </c>
      <c r="B141" s="66">
        <f>IF(A141="","",'Produtos'!B141)</f>
        <v/>
      </c>
      <c r="C141" s="66">
        <f>IF(A141="","",'Produtos'!C141)</f>
        <v/>
      </c>
      <c r="D141" s="67">
        <f>IF(A141="","",'Produtos'!F141)</f>
        <v/>
      </c>
      <c r="E141" s="67">
        <f>IF(A141="","",SUMIFS('Movimentações'!$F$5:$F$1004,'Movimentações'!$C$5:$C$1004,A141,'Movimentações'!$E$5:$E$1004,"Entrada"))</f>
        <v/>
      </c>
      <c r="F141" s="67">
        <f>IF(A141="","",SUMIFS('Movimentações'!$F$5:$F$1004,'Movimentações'!$C$5:$C$1004,A141,'Movimentações'!$E$5:$E$1004,"Saída"))</f>
        <v/>
      </c>
      <c r="G141" s="67">
        <f>IF(A141="","",D141+E141-F141)</f>
        <v/>
      </c>
      <c r="H141" s="67">
        <f>IF(A141="","",'Produtos'!G141)</f>
        <v/>
      </c>
      <c r="I141" s="67">
        <f>IF(A141="","",'Produtos'!H141)</f>
        <v/>
      </c>
      <c r="J141" s="70">
        <f>IF(A141="","",'Produtos'!E141)</f>
        <v/>
      </c>
      <c r="K141" s="70">
        <f>IF(A141="","",G141*J141)</f>
        <v/>
      </c>
      <c r="L141" s="69">
        <f>IF(A141="","",IF(G141&lt;=0,"CRÍTICO",IF(G141&lt;=H141,"REPOR","OK")))</f>
        <v/>
      </c>
      <c r="M141" s="67">
        <f>IF(A141="","",IF(L141="OK",0,MAX(0,I141-G141)))</f>
        <v/>
      </c>
      <c r="N141" s="71">
        <f>IF(A141="","",IF(H141&gt;0,G141/H141,99))</f>
        <v/>
      </c>
      <c r="O141" s="68">
        <f>IF(A141="","",IF(L141="OK","",N141+ROW()/100000))</f>
        <v/>
      </c>
    </row>
    <row r="142">
      <c r="A142" s="69">
        <f>IF('Produtos'!A142="","",'Produtos'!A142)</f>
        <v/>
      </c>
      <c r="B142" s="66">
        <f>IF(A142="","",'Produtos'!B142)</f>
        <v/>
      </c>
      <c r="C142" s="66">
        <f>IF(A142="","",'Produtos'!C142)</f>
        <v/>
      </c>
      <c r="D142" s="67">
        <f>IF(A142="","",'Produtos'!F142)</f>
        <v/>
      </c>
      <c r="E142" s="67">
        <f>IF(A142="","",SUMIFS('Movimentações'!$F$5:$F$1004,'Movimentações'!$C$5:$C$1004,A142,'Movimentações'!$E$5:$E$1004,"Entrada"))</f>
        <v/>
      </c>
      <c r="F142" s="67">
        <f>IF(A142="","",SUMIFS('Movimentações'!$F$5:$F$1004,'Movimentações'!$C$5:$C$1004,A142,'Movimentações'!$E$5:$E$1004,"Saída"))</f>
        <v/>
      </c>
      <c r="G142" s="67">
        <f>IF(A142="","",D142+E142-F142)</f>
        <v/>
      </c>
      <c r="H142" s="67">
        <f>IF(A142="","",'Produtos'!G142)</f>
        <v/>
      </c>
      <c r="I142" s="67">
        <f>IF(A142="","",'Produtos'!H142)</f>
        <v/>
      </c>
      <c r="J142" s="70">
        <f>IF(A142="","",'Produtos'!E142)</f>
        <v/>
      </c>
      <c r="K142" s="70">
        <f>IF(A142="","",G142*J142)</f>
        <v/>
      </c>
      <c r="L142" s="69">
        <f>IF(A142="","",IF(G142&lt;=0,"CRÍTICO",IF(G142&lt;=H142,"REPOR","OK")))</f>
        <v/>
      </c>
      <c r="M142" s="67">
        <f>IF(A142="","",IF(L142="OK",0,MAX(0,I142-G142)))</f>
        <v/>
      </c>
      <c r="N142" s="71">
        <f>IF(A142="","",IF(H142&gt;0,G142/H142,99))</f>
        <v/>
      </c>
      <c r="O142" s="68">
        <f>IF(A142="","",IF(L142="OK","",N142+ROW()/100000))</f>
        <v/>
      </c>
    </row>
    <row r="143">
      <c r="A143" s="69">
        <f>IF('Produtos'!A143="","",'Produtos'!A143)</f>
        <v/>
      </c>
      <c r="B143" s="66">
        <f>IF(A143="","",'Produtos'!B143)</f>
        <v/>
      </c>
      <c r="C143" s="66">
        <f>IF(A143="","",'Produtos'!C143)</f>
        <v/>
      </c>
      <c r="D143" s="67">
        <f>IF(A143="","",'Produtos'!F143)</f>
        <v/>
      </c>
      <c r="E143" s="67">
        <f>IF(A143="","",SUMIFS('Movimentações'!$F$5:$F$1004,'Movimentações'!$C$5:$C$1004,A143,'Movimentações'!$E$5:$E$1004,"Entrada"))</f>
        <v/>
      </c>
      <c r="F143" s="67">
        <f>IF(A143="","",SUMIFS('Movimentações'!$F$5:$F$1004,'Movimentações'!$C$5:$C$1004,A143,'Movimentações'!$E$5:$E$1004,"Saída"))</f>
        <v/>
      </c>
      <c r="G143" s="67">
        <f>IF(A143="","",D143+E143-F143)</f>
        <v/>
      </c>
      <c r="H143" s="67">
        <f>IF(A143="","",'Produtos'!G143)</f>
        <v/>
      </c>
      <c r="I143" s="67">
        <f>IF(A143="","",'Produtos'!H143)</f>
        <v/>
      </c>
      <c r="J143" s="70">
        <f>IF(A143="","",'Produtos'!E143)</f>
        <v/>
      </c>
      <c r="K143" s="70">
        <f>IF(A143="","",G143*J143)</f>
        <v/>
      </c>
      <c r="L143" s="69">
        <f>IF(A143="","",IF(G143&lt;=0,"CRÍTICO",IF(G143&lt;=H143,"REPOR","OK")))</f>
        <v/>
      </c>
      <c r="M143" s="67">
        <f>IF(A143="","",IF(L143="OK",0,MAX(0,I143-G143)))</f>
        <v/>
      </c>
      <c r="N143" s="71">
        <f>IF(A143="","",IF(H143&gt;0,G143/H143,99))</f>
        <v/>
      </c>
      <c r="O143" s="68">
        <f>IF(A143="","",IF(L143="OK","",N143+ROW()/100000))</f>
        <v/>
      </c>
    </row>
    <row r="144">
      <c r="A144" s="69">
        <f>IF('Produtos'!A144="","",'Produtos'!A144)</f>
        <v/>
      </c>
      <c r="B144" s="66">
        <f>IF(A144="","",'Produtos'!B144)</f>
        <v/>
      </c>
      <c r="C144" s="66">
        <f>IF(A144="","",'Produtos'!C144)</f>
        <v/>
      </c>
      <c r="D144" s="67">
        <f>IF(A144="","",'Produtos'!F144)</f>
        <v/>
      </c>
      <c r="E144" s="67">
        <f>IF(A144="","",SUMIFS('Movimentações'!$F$5:$F$1004,'Movimentações'!$C$5:$C$1004,A144,'Movimentações'!$E$5:$E$1004,"Entrada"))</f>
        <v/>
      </c>
      <c r="F144" s="67">
        <f>IF(A144="","",SUMIFS('Movimentações'!$F$5:$F$1004,'Movimentações'!$C$5:$C$1004,A144,'Movimentações'!$E$5:$E$1004,"Saída"))</f>
        <v/>
      </c>
      <c r="G144" s="67">
        <f>IF(A144="","",D144+E144-F144)</f>
        <v/>
      </c>
      <c r="H144" s="67">
        <f>IF(A144="","",'Produtos'!G144)</f>
        <v/>
      </c>
      <c r="I144" s="67">
        <f>IF(A144="","",'Produtos'!H144)</f>
        <v/>
      </c>
      <c r="J144" s="70">
        <f>IF(A144="","",'Produtos'!E144)</f>
        <v/>
      </c>
      <c r="K144" s="70">
        <f>IF(A144="","",G144*J144)</f>
        <v/>
      </c>
      <c r="L144" s="69">
        <f>IF(A144="","",IF(G144&lt;=0,"CRÍTICO",IF(G144&lt;=H144,"REPOR","OK")))</f>
        <v/>
      </c>
      <c r="M144" s="67">
        <f>IF(A144="","",IF(L144="OK",0,MAX(0,I144-G144)))</f>
        <v/>
      </c>
      <c r="N144" s="71">
        <f>IF(A144="","",IF(H144&gt;0,G144/H144,99))</f>
        <v/>
      </c>
      <c r="O144" s="68">
        <f>IF(A144="","",IF(L144="OK","",N144+ROW()/100000))</f>
        <v/>
      </c>
    </row>
    <row r="145">
      <c r="A145" s="69">
        <f>IF('Produtos'!A145="","",'Produtos'!A145)</f>
        <v/>
      </c>
      <c r="B145" s="66">
        <f>IF(A145="","",'Produtos'!B145)</f>
        <v/>
      </c>
      <c r="C145" s="66">
        <f>IF(A145="","",'Produtos'!C145)</f>
        <v/>
      </c>
      <c r="D145" s="67">
        <f>IF(A145="","",'Produtos'!F145)</f>
        <v/>
      </c>
      <c r="E145" s="67">
        <f>IF(A145="","",SUMIFS('Movimentações'!$F$5:$F$1004,'Movimentações'!$C$5:$C$1004,A145,'Movimentações'!$E$5:$E$1004,"Entrada"))</f>
        <v/>
      </c>
      <c r="F145" s="67">
        <f>IF(A145="","",SUMIFS('Movimentações'!$F$5:$F$1004,'Movimentações'!$C$5:$C$1004,A145,'Movimentações'!$E$5:$E$1004,"Saída"))</f>
        <v/>
      </c>
      <c r="G145" s="67">
        <f>IF(A145="","",D145+E145-F145)</f>
        <v/>
      </c>
      <c r="H145" s="67">
        <f>IF(A145="","",'Produtos'!G145)</f>
        <v/>
      </c>
      <c r="I145" s="67">
        <f>IF(A145="","",'Produtos'!H145)</f>
        <v/>
      </c>
      <c r="J145" s="70">
        <f>IF(A145="","",'Produtos'!E145)</f>
        <v/>
      </c>
      <c r="K145" s="70">
        <f>IF(A145="","",G145*J145)</f>
        <v/>
      </c>
      <c r="L145" s="69">
        <f>IF(A145="","",IF(G145&lt;=0,"CRÍTICO",IF(G145&lt;=H145,"REPOR","OK")))</f>
        <v/>
      </c>
      <c r="M145" s="67">
        <f>IF(A145="","",IF(L145="OK",0,MAX(0,I145-G145)))</f>
        <v/>
      </c>
      <c r="N145" s="71">
        <f>IF(A145="","",IF(H145&gt;0,G145/H145,99))</f>
        <v/>
      </c>
      <c r="O145" s="68">
        <f>IF(A145="","",IF(L145="OK","",N145+ROW()/100000))</f>
        <v/>
      </c>
    </row>
    <row r="146">
      <c r="A146" s="69">
        <f>IF('Produtos'!A146="","",'Produtos'!A146)</f>
        <v/>
      </c>
      <c r="B146" s="66">
        <f>IF(A146="","",'Produtos'!B146)</f>
        <v/>
      </c>
      <c r="C146" s="66">
        <f>IF(A146="","",'Produtos'!C146)</f>
        <v/>
      </c>
      <c r="D146" s="67">
        <f>IF(A146="","",'Produtos'!F146)</f>
        <v/>
      </c>
      <c r="E146" s="67">
        <f>IF(A146="","",SUMIFS('Movimentações'!$F$5:$F$1004,'Movimentações'!$C$5:$C$1004,A146,'Movimentações'!$E$5:$E$1004,"Entrada"))</f>
        <v/>
      </c>
      <c r="F146" s="67">
        <f>IF(A146="","",SUMIFS('Movimentações'!$F$5:$F$1004,'Movimentações'!$C$5:$C$1004,A146,'Movimentações'!$E$5:$E$1004,"Saída"))</f>
        <v/>
      </c>
      <c r="G146" s="67">
        <f>IF(A146="","",D146+E146-F146)</f>
        <v/>
      </c>
      <c r="H146" s="67">
        <f>IF(A146="","",'Produtos'!G146)</f>
        <v/>
      </c>
      <c r="I146" s="67">
        <f>IF(A146="","",'Produtos'!H146)</f>
        <v/>
      </c>
      <c r="J146" s="70">
        <f>IF(A146="","",'Produtos'!E146)</f>
        <v/>
      </c>
      <c r="K146" s="70">
        <f>IF(A146="","",G146*J146)</f>
        <v/>
      </c>
      <c r="L146" s="69">
        <f>IF(A146="","",IF(G146&lt;=0,"CRÍTICO",IF(G146&lt;=H146,"REPOR","OK")))</f>
        <v/>
      </c>
      <c r="M146" s="67">
        <f>IF(A146="","",IF(L146="OK",0,MAX(0,I146-G146)))</f>
        <v/>
      </c>
      <c r="N146" s="71">
        <f>IF(A146="","",IF(H146&gt;0,G146/H146,99))</f>
        <v/>
      </c>
      <c r="O146" s="68">
        <f>IF(A146="","",IF(L146="OK","",N146+ROW()/100000))</f>
        <v/>
      </c>
    </row>
    <row r="147">
      <c r="A147" s="69">
        <f>IF('Produtos'!A147="","",'Produtos'!A147)</f>
        <v/>
      </c>
      <c r="B147" s="66">
        <f>IF(A147="","",'Produtos'!B147)</f>
        <v/>
      </c>
      <c r="C147" s="66">
        <f>IF(A147="","",'Produtos'!C147)</f>
        <v/>
      </c>
      <c r="D147" s="67">
        <f>IF(A147="","",'Produtos'!F147)</f>
        <v/>
      </c>
      <c r="E147" s="67">
        <f>IF(A147="","",SUMIFS('Movimentações'!$F$5:$F$1004,'Movimentações'!$C$5:$C$1004,A147,'Movimentações'!$E$5:$E$1004,"Entrada"))</f>
        <v/>
      </c>
      <c r="F147" s="67">
        <f>IF(A147="","",SUMIFS('Movimentações'!$F$5:$F$1004,'Movimentações'!$C$5:$C$1004,A147,'Movimentações'!$E$5:$E$1004,"Saída"))</f>
        <v/>
      </c>
      <c r="G147" s="67">
        <f>IF(A147="","",D147+E147-F147)</f>
        <v/>
      </c>
      <c r="H147" s="67">
        <f>IF(A147="","",'Produtos'!G147)</f>
        <v/>
      </c>
      <c r="I147" s="67">
        <f>IF(A147="","",'Produtos'!H147)</f>
        <v/>
      </c>
      <c r="J147" s="70">
        <f>IF(A147="","",'Produtos'!E147)</f>
        <v/>
      </c>
      <c r="K147" s="70">
        <f>IF(A147="","",G147*J147)</f>
        <v/>
      </c>
      <c r="L147" s="69">
        <f>IF(A147="","",IF(G147&lt;=0,"CRÍTICO",IF(G147&lt;=H147,"REPOR","OK")))</f>
        <v/>
      </c>
      <c r="M147" s="67">
        <f>IF(A147="","",IF(L147="OK",0,MAX(0,I147-G147)))</f>
        <v/>
      </c>
      <c r="N147" s="71">
        <f>IF(A147="","",IF(H147&gt;0,G147/H147,99))</f>
        <v/>
      </c>
      <c r="O147" s="68">
        <f>IF(A147="","",IF(L147="OK","",N147+ROW()/100000))</f>
        <v/>
      </c>
    </row>
    <row r="148">
      <c r="A148" s="69">
        <f>IF('Produtos'!A148="","",'Produtos'!A148)</f>
        <v/>
      </c>
      <c r="B148" s="66">
        <f>IF(A148="","",'Produtos'!B148)</f>
        <v/>
      </c>
      <c r="C148" s="66">
        <f>IF(A148="","",'Produtos'!C148)</f>
        <v/>
      </c>
      <c r="D148" s="67">
        <f>IF(A148="","",'Produtos'!F148)</f>
        <v/>
      </c>
      <c r="E148" s="67">
        <f>IF(A148="","",SUMIFS('Movimentações'!$F$5:$F$1004,'Movimentações'!$C$5:$C$1004,A148,'Movimentações'!$E$5:$E$1004,"Entrada"))</f>
        <v/>
      </c>
      <c r="F148" s="67">
        <f>IF(A148="","",SUMIFS('Movimentações'!$F$5:$F$1004,'Movimentações'!$C$5:$C$1004,A148,'Movimentações'!$E$5:$E$1004,"Saída"))</f>
        <v/>
      </c>
      <c r="G148" s="67">
        <f>IF(A148="","",D148+E148-F148)</f>
        <v/>
      </c>
      <c r="H148" s="67">
        <f>IF(A148="","",'Produtos'!G148)</f>
        <v/>
      </c>
      <c r="I148" s="67">
        <f>IF(A148="","",'Produtos'!H148)</f>
        <v/>
      </c>
      <c r="J148" s="70">
        <f>IF(A148="","",'Produtos'!E148)</f>
        <v/>
      </c>
      <c r="K148" s="70">
        <f>IF(A148="","",G148*J148)</f>
        <v/>
      </c>
      <c r="L148" s="69">
        <f>IF(A148="","",IF(G148&lt;=0,"CRÍTICO",IF(G148&lt;=H148,"REPOR","OK")))</f>
        <v/>
      </c>
      <c r="M148" s="67">
        <f>IF(A148="","",IF(L148="OK",0,MAX(0,I148-G148)))</f>
        <v/>
      </c>
      <c r="N148" s="71">
        <f>IF(A148="","",IF(H148&gt;0,G148/H148,99))</f>
        <v/>
      </c>
      <c r="O148" s="68">
        <f>IF(A148="","",IF(L148="OK","",N148+ROW()/100000))</f>
        <v/>
      </c>
    </row>
    <row r="149">
      <c r="A149" s="69">
        <f>IF('Produtos'!A149="","",'Produtos'!A149)</f>
        <v/>
      </c>
      <c r="B149" s="66">
        <f>IF(A149="","",'Produtos'!B149)</f>
        <v/>
      </c>
      <c r="C149" s="66">
        <f>IF(A149="","",'Produtos'!C149)</f>
        <v/>
      </c>
      <c r="D149" s="67">
        <f>IF(A149="","",'Produtos'!F149)</f>
        <v/>
      </c>
      <c r="E149" s="67">
        <f>IF(A149="","",SUMIFS('Movimentações'!$F$5:$F$1004,'Movimentações'!$C$5:$C$1004,A149,'Movimentações'!$E$5:$E$1004,"Entrada"))</f>
        <v/>
      </c>
      <c r="F149" s="67">
        <f>IF(A149="","",SUMIFS('Movimentações'!$F$5:$F$1004,'Movimentações'!$C$5:$C$1004,A149,'Movimentações'!$E$5:$E$1004,"Saída"))</f>
        <v/>
      </c>
      <c r="G149" s="67">
        <f>IF(A149="","",D149+E149-F149)</f>
        <v/>
      </c>
      <c r="H149" s="67">
        <f>IF(A149="","",'Produtos'!G149)</f>
        <v/>
      </c>
      <c r="I149" s="67">
        <f>IF(A149="","",'Produtos'!H149)</f>
        <v/>
      </c>
      <c r="J149" s="70">
        <f>IF(A149="","",'Produtos'!E149)</f>
        <v/>
      </c>
      <c r="K149" s="70">
        <f>IF(A149="","",G149*J149)</f>
        <v/>
      </c>
      <c r="L149" s="69">
        <f>IF(A149="","",IF(G149&lt;=0,"CRÍTICO",IF(G149&lt;=H149,"REPOR","OK")))</f>
        <v/>
      </c>
      <c r="M149" s="67">
        <f>IF(A149="","",IF(L149="OK",0,MAX(0,I149-G149)))</f>
        <v/>
      </c>
      <c r="N149" s="71">
        <f>IF(A149="","",IF(H149&gt;0,G149/H149,99))</f>
        <v/>
      </c>
      <c r="O149" s="68">
        <f>IF(A149="","",IF(L149="OK","",N149+ROW()/100000))</f>
        <v/>
      </c>
    </row>
    <row r="150">
      <c r="A150" s="69">
        <f>IF('Produtos'!A150="","",'Produtos'!A150)</f>
        <v/>
      </c>
      <c r="B150" s="66">
        <f>IF(A150="","",'Produtos'!B150)</f>
        <v/>
      </c>
      <c r="C150" s="66">
        <f>IF(A150="","",'Produtos'!C150)</f>
        <v/>
      </c>
      <c r="D150" s="67">
        <f>IF(A150="","",'Produtos'!F150)</f>
        <v/>
      </c>
      <c r="E150" s="67">
        <f>IF(A150="","",SUMIFS('Movimentações'!$F$5:$F$1004,'Movimentações'!$C$5:$C$1004,A150,'Movimentações'!$E$5:$E$1004,"Entrada"))</f>
        <v/>
      </c>
      <c r="F150" s="67">
        <f>IF(A150="","",SUMIFS('Movimentações'!$F$5:$F$1004,'Movimentações'!$C$5:$C$1004,A150,'Movimentações'!$E$5:$E$1004,"Saída"))</f>
        <v/>
      </c>
      <c r="G150" s="67">
        <f>IF(A150="","",D150+E150-F150)</f>
        <v/>
      </c>
      <c r="H150" s="67">
        <f>IF(A150="","",'Produtos'!G150)</f>
        <v/>
      </c>
      <c r="I150" s="67">
        <f>IF(A150="","",'Produtos'!H150)</f>
        <v/>
      </c>
      <c r="J150" s="70">
        <f>IF(A150="","",'Produtos'!E150)</f>
        <v/>
      </c>
      <c r="K150" s="70">
        <f>IF(A150="","",G150*J150)</f>
        <v/>
      </c>
      <c r="L150" s="69">
        <f>IF(A150="","",IF(G150&lt;=0,"CRÍTICO",IF(G150&lt;=H150,"REPOR","OK")))</f>
        <v/>
      </c>
      <c r="M150" s="67">
        <f>IF(A150="","",IF(L150="OK",0,MAX(0,I150-G150)))</f>
        <v/>
      </c>
      <c r="N150" s="71">
        <f>IF(A150="","",IF(H150&gt;0,G150/H150,99))</f>
        <v/>
      </c>
      <c r="O150" s="68">
        <f>IF(A150="","",IF(L150="OK","",N150+ROW()/100000))</f>
        <v/>
      </c>
    </row>
    <row r="151">
      <c r="A151" s="69">
        <f>IF('Produtos'!A151="","",'Produtos'!A151)</f>
        <v/>
      </c>
      <c r="B151" s="66">
        <f>IF(A151="","",'Produtos'!B151)</f>
        <v/>
      </c>
      <c r="C151" s="66">
        <f>IF(A151="","",'Produtos'!C151)</f>
        <v/>
      </c>
      <c r="D151" s="67">
        <f>IF(A151="","",'Produtos'!F151)</f>
        <v/>
      </c>
      <c r="E151" s="67">
        <f>IF(A151="","",SUMIFS('Movimentações'!$F$5:$F$1004,'Movimentações'!$C$5:$C$1004,A151,'Movimentações'!$E$5:$E$1004,"Entrada"))</f>
        <v/>
      </c>
      <c r="F151" s="67">
        <f>IF(A151="","",SUMIFS('Movimentações'!$F$5:$F$1004,'Movimentações'!$C$5:$C$1004,A151,'Movimentações'!$E$5:$E$1004,"Saída"))</f>
        <v/>
      </c>
      <c r="G151" s="67">
        <f>IF(A151="","",D151+E151-F151)</f>
        <v/>
      </c>
      <c r="H151" s="67">
        <f>IF(A151="","",'Produtos'!G151)</f>
        <v/>
      </c>
      <c r="I151" s="67">
        <f>IF(A151="","",'Produtos'!H151)</f>
        <v/>
      </c>
      <c r="J151" s="70">
        <f>IF(A151="","",'Produtos'!E151)</f>
        <v/>
      </c>
      <c r="K151" s="70">
        <f>IF(A151="","",G151*J151)</f>
        <v/>
      </c>
      <c r="L151" s="69">
        <f>IF(A151="","",IF(G151&lt;=0,"CRÍTICO",IF(G151&lt;=H151,"REPOR","OK")))</f>
        <v/>
      </c>
      <c r="M151" s="67">
        <f>IF(A151="","",IF(L151="OK",0,MAX(0,I151-G151)))</f>
        <v/>
      </c>
      <c r="N151" s="71">
        <f>IF(A151="","",IF(H151&gt;0,G151/H151,99))</f>
        <v/>
      </c>
      <c r="O151" s="68">
        <f>IF(A151="","",IF(L151="OK","",N151+ROW()/100000))</f>
        <v/>
      </c>
    </row>
    <row r="152">
      <c r="A152" s="69">
        <f>IF('Produtos'!A152="","",'Produtos'!A152)</f>
        <v/>
      </c>
      <c r="B152" s="66">
        <f>IF(A152="","",'Produtos'!B152)</f>
        <v/>
      </c>
      <c r="C152" s="66">
        <f>IF(A152="","",'Produtos'!C152)</f>
        <v/>
      </c>
      <c r="D152" s="67">
        <f>IF(A152="","",'Produtos'!F152)</f>
        <v/>
      </c>
      <c r="E152" s="67">
        <f>IF(A152="","",SUMIFS('Movimentações'!$F$5:$F$1004,'Movimentações'!$C$5:$C$1004,A152,'Movimentações'!$E$5:$E$1004,"Entrada"))</f>
        <v/>
      </c>
      <c r="F152" s="67">
        <f>IF(A152="","",SUMIFS('Movimentações'!$F$5:$F$1004,'Movimentações'!$C$5:$C$1004,A152,'Movimentações'!$E$5:$E$1004,"Saída"))</f>
        <v/>
      </c>
      <c r="G152" s="67">
        <f>IF(A152="","",D152+E152-F152)</f>
        <v/>
      </c>
      <c r="H152" s="67">
        <f>IF(A152="","",'Produtos'!G152)</f>
        <v/>
      </c>
      <c r="I152" s="67">
        <f>IF(A152="","",'Produtos'!H152)</f>
        <v/>
      </c>
      <c r="J152" s="70">
        <f>IF(A152="","",'Produtos'!E152)</f>
        <v/>
      </c>
      <c r="K152" s="70">
        <f>IF(A152="","",G152*J152)</f>
        <v/>
      </c>
      <c r="L152" s="69">
        <f>IF(A152="","",IF(G152&lt;=0,"CRÍTICO",IF(G152&lt;=H152,"REPOR","OK")))</f>
        <v/>
      </c>
      <c r="M152" s="67">
        <f>IF(A152="","",IF(L152="OK",0,MAX(0,I152-G152)))</f>
        <v/>
      </c>
      <c r="N152" s="71">
        <f>IF(A152="","",IF(H152&gt;0,G152/H152,99))</f>
        <v/>
      </c>
      <c r="O152" s="68">
        <f>IF(A152="","",IF(L152="OK","",N152+ROW()/100000))</f>
        <v/>
      </c>
    </row>
    <row r="153">
      <c r="A153" s="69">
        <f>IF('Produtos'!A153="","",'Produtos'!A153)</f>
        <v/>
      </c>
      <c r="B153" s="66">
        <f>IF(A153="","",'Produtos'!B153)</f>
        <v/>
      </c>
      <c r="C153" s="66">
        <f>IF(A153="","",'Produtos'!C153)</f>
        <v/>
      </c>
      <c r="D153" s="67">
        <f>IF(A153="","",'Produtos'!F153)</f>
        <v/>
      </c>
      <c r="E153" s="67">
        <f>IF(A153="","",SUMIFS('Movimentações'!$F$5:$F$1004,'Movimentações'!$C$5:$C$1004,A153,'Movimentações'!$E$5:$E$1004,"Entrada"))</f>
        <v/>
      </c>
      <c r="F153" s="67">
        <f>IF(A153="","",SUMIFS('Movimentações'!$F$5:$F$1004,'Movimentações'!$C$5:$C$1004,A153,'Movimentações'!$E$5:$E$1004,"Saída"))</f>
        <v/>
      </c>
      <c r="G153" s="67">
        <f>IF(A153="","",D153+E153-F153)</f>
        <v/>
      </c>
      <c r="H153" s="67">
        <f>IF(A153="","",'Produtos'!G153)</f>
        <v/>
      </c>
      <c r="I153" s="67">
        <f>IF(A153="","",'Produtos'!H153)</f>
        <v/>
      </c>
      <c r="J153" s="70">
        <f>IF(A153="","",'Produtos'!E153)</f>
        <v/>
      </c>
      <c r="K153" s="70">
        <f>IF(A153="","",G153*J153)</f>
        <v/>
      </c>
      <c r="L153" s="69">
        <f>IF(A153="","",IF(G153&lt;=0,"CRÍTICO",IF(G153&lt;=H153,"REPOR","OK")))</f>
        <v/>
      </c>
      <c r="M153" s="67">
        <f>IF(A153="","",IF(L153="OK",0,MAX(0,I153-G153)))</f>
        <v/>
      </c>
      <c r="N153" s="71">
        <f>IF(A153="","",IF(H153&gt;0,G153/H153,99))</f>
        <v/>
      </c>
      <c r="O153" s="68">
        <f>IF(A153="","",IF(L153="OK","",N153+ROW()/100000))</f>
        <v/>
      </c>
    </row>
    <row r="154">
      <c r="A154" s="69">
        <f>IF('Produtos'!A154="","",'Produtos'!A154)</f>
        <v/>
      </c>
      <c r="B154" s="66">
        <f>IF(A154="","",'Produtos'!B154)</f>
        <v/>
      </c>
      <c r="C154" s="66">
        <f>IF(A154="","",'Produtos'!C154)</f>
        <v/>
      </c>
      <c r="D154" s="67">
        <f>IF(A154="","",'Produtos'!F154)</f>
        <v/>
      </c>
      <c r="E154" s="67">
        <f>IF(A154="","",SUMIFS('Movimentações'!$F$5:$F$1004,'Movimentações'!$C$5:$C$1004,A154,'Movimentações'!$E$5:$E$1004,"Entrada"))</f>
        <v/>
      </c>
      <c r="F154" s="67">
        <f>IF(A154="","",SUMIFS('Movimentações'!$F$5:$F$1004,'Movimentações'!$C$5:$C$1004,A154,'Movimentações'!$E$5:$E$1004,"Saída"))</f>
        <v/>
      </c>
      <c r="G154" s="67">
        <f>IF(A154="","",D154+E154-F154)</f>
        <v/>
      </c>
      <c r="H154" s="67">
        <f>IF(A154="","",'Produtos'!G154)</f>
        <v/>
      </c>
      <c r="I154" s="67">
        <f>IF(A154="","",'Produtos'!H154)</f>
        <v/>
      </c>
      <c r="J154" s="70">
        <f>IF(A154="","",'Produtos'!E154)</f>
        <v/>
      </c>
      <c r="K154" s="70">
        <f>IF(A154="","",G154*J154)</f>
        <v/>
      </c>
      <c r="L154" s="69">
        <f>IF(A154="","",IF(G154&lt;=0,"CRÍTICO",IF(G154&lt;=H154,"REPOR","OK")))</f>
        <v/>
      </c>
      <c r="M154" s="67">
        <f>IF(A154="","",IF(L154="OK",0,MAX(0,I154-G154)))</f>
        <v/>
      </c>
      <c r="N154" s="71">
        <f>IF(A154="","",IF(H154&gt;0,G154/H154,99))</f>
        <v/>
      </c>
      <c r="O154" s="68">
        <f>IF(A154="","",IF(L154="OK","",N154+ROW()/100000))</f>
        <v/>
      </c>
    </row>
    <row r="155">
      <c r="A155" s="69">
        <f>IF('Produtos'!A155="","",'Produtos'!A155)</f>
        <v/>
      </c>
      <c r="B155" s="66">
        <f>IF(A155="","",'Produtos'!B155)</f>
        <v/>
      </c>
      <c r="C155" s="66">
        <f>IF(A155="","",'Produtos'!C155)</f>
        <v/>
      </c>
      <c r="D155" s="67">
        <f>IF(A155="","",'Produtos'!F155)</f>
        <v/>
      </c>
      <c r="E155" s="67">
        <f>IF(A155="","",SUMIFS('Movimentações'!$F$5:$F$1004,'Movimentações'!$C$5:$C$1004,A155,'Movimentações'!$E$5:$E$1004,"Entrada"))</f>
        <v/>
      </c>
      <c r="F155" s="67">
        <f>IF(A155="","",SUMIFS('Movimentações'!$F$5:$F$1004,'Movimentações'!$C$5:$C$1004,A155,'Movimentações'!$E$5:$E$1004,"Saída"))</f>
        <v/>
      </c>
      <c r="G155" s="67">
        <f>IF(A155="","",D155+E155-F155)</f>
        <v/>
      </c>
      <c r="H155" s="67">
        <f>IF(A155="","",'Produtos'!G155)</f>
        <v/>
      </c>
      <c r="I155" s="67">
        <f>IF(A155="","",'Produtos'!H155)</f>
        <v/>
      </c>
      <c r="J155" s="70">
        <f>IF(A155="","",'Produtos'!E155)</f>
        <v/>
      </c>
      <c r="K155" s="70">
        <f>IF(A155="","",G155*J155)</f>
        <v/>
      </c>
      <c r="L155" s="69">
        <f>IF(A155="","",IF(G155&lt;=0,"CRÍTICO",IF(G155&lt;=H155,"REPOR","OK")))</f>
        <v/>
      </c>
      <c r="M155" s="67">
        <f>IF(A155="","",IF(L155="OK",0,MAX(0,I155-G155)))</f>
        <v/>
      </c>
      <c r="N155" s="71">
        <f>IF(A155="","",IF(H155&gt;0,G155/H155,99))</f>
        <v/>
      </c>
      <c r="O155" s="68">
        <f>IF(A155="","",IF(L155="OK","",N155+ROW()/100000))</f>
        <v/>
      </c>
    </row>
    <row r="156">
      <c r="A156" s="69">
        <f>IF('Produtos'!A156="","",'Produtos'!A156)</f>
        <v/>
      </c>
      <c r="B156" s="66">
        <f>IF(A156="","",'Produtos'!B156)</f>
        <v/>
      </c>
      <c r="C156" s="66">
        <f>IF(A156="","",'Produtos'!C156)</f>
        <v/>
      </c>
      <c r="D156" s="67">
        <f>IF(A156="","",'Produtos'!F156)</f>
        <v/>
      </c>
      <c r="E156" s="67">
        <f>IF(A156="","",SUMIFS('Movimentações'!$F$5:$F$1004,'Movimentações'!$C$5:$C$1004,A156,'Movimentações'!$E$5:$E$1004,"Entrada"))</f>
        <v/>
      </c>
      <c r="F156" s="67">
        <f>IF(A156="","",SUMIFS('Movimentações'!$F$5:$F$1004,'Movimentações'!$C$5:$C$1004,A156,'Movimentações'!$E$5:$E$1004,"Saída"))</f>
        <v/>
      </c>
      <c r="G156" s="67">
        <f>IF(A156="","",D156+E156-F156)</f>
        <v/>
      </c>
      <c r="H156" s="67">
        <f>IF(A156="","",'Produtos'!G156)</f>
        <v/>
      </c>
      <c r="I156" s="67">
        <f>IF(A156="","",'Produtos'!H156)</f>
        <v/>
      </c>
      <c r="J156" s="70">
        <f>IF(A156="","",'Produtos'!E156)</f>
        <v/>
      </c>
      <c r="K156" s="70">
        <f>IF(A156="","",G156*J156)</f>
        <v/>
      </c>
      <c r="L156" s="69">
        <f>IF(A156="","",IF(G156&lt;=0,"CRÍTICO",IF(G156&lt;=H156,"REPOR","OK")))</f>
        <v/>
      </c>
      <c r="M156" s="67">
        <f>IF(A156="","",IF(L156="OK",0,MAX(0,I156-G156)))</f>
        <v/>
      </c>
      <c r="N156" s="71">
        <f>IF(A156="","",IF(H156&gt;0,G156/H156,99))</f>
        <v/>
      </c>
      <c r="O156" s="68">
        <f>IF(A156="","",IF(L156="OK","",N156+ROW()/100000))</f>
        <v/>
      </c>
    </row>
    <row r="157">
      <c r="A157" s="69">
        <f>IF('Produtos'!A157="","",'Produtos'!A157)</f>
        <v/>
      </c>
      <c r="B157" s="66">
        <f>IF(A157="","",'Produtos'!B157)</f>
        <v/>
      </c>
      <c r="C157" s="66">
        <f>IF(A157="","",'Produtos'!C157)</f>
        <v/>
      </c>
      <c r="D157" s="67">
        <f>IF(A157="","",'Produtos'!F157)</f>
        <v/>
      </c>
      <c r="E157" s="67">
        <f>IF(A157="","",SUMIFS('Movimentações'!$F$5:$F$1004,'Movimentações'!$C$5:$C$1004,A157,'Movimentações'!$E$5:$E$1004,"Entrada"))</f>
        <v/>
      </c>
      <c r="F157" s="67">
        <f>IF(A157="","",SUMIFS('Movimentações'!$F$5:$F$1004,'Movimentações'!$C$5:$C$1004,A157,'Movimentações'!$E$5:$E$1004,"Saída"))</f>
        <v/>
      </c>
      <c r="G157" s="67">
        <f>IF(A157="","",D157+E157-F157)</f>
        <v/>
      </c>
      <c r="H157" s="67">
        <f>IF(A157="","",'Produtos'!G157)</f>
        <v/>
      </c>
      <c r="I157" s="67">
        <f>IF(A157="","",'Produtos'!H157)</f>
        <v/>
      </c>
      <c r="J157" s="70">
        <f>IF(A157="","",'Produtos'!E157)</f>
        <v/>
      </c>
      <c r="K157" s="70">
        <f>IF(A157="","",G157*J157)</f>
        <v/>
      </c>
      <c r="L157" s="69">
        <f>IF(A157="","",IF(G157&lt;=0,"CRÍTICO",IF(G157&lt;=H157,"REPOR","OK")))</f>
        <v/>
      </c>
      <c r="M157" s="67">
        <f>IF(A157="","",IF(L157="OK",0,MAX(0,I157-G157)))</f>
        <v/>
      </c>
      <c r="N157" s="71">
        <f>IF(A157="","",IF(H157&gt;0,G157/H157,99))</f>
        <v/>
      </c>
      <c r="O157" s="68">
        <f>IF(A157="","",IF(L157="OK","",N157+ROW()/100000))</f>
        <v/>
      </c>
    </row>
    <row r="158">
      <c r="A158" s="69">
        <f>IF('Produtos'!A158="","",'Produtos'!A158)</f>
        <v/>
      </c>
      <c r="B158" s="66">
        <f>IF(A158="","",'Produtos'!B158)</f>
        <v/>
      </c>
      <c r="C158" s="66">
        <f>IF(A158="","",'Produtos'!C158)</f>
        <v/>
      </c>
      <c r="D158" s="67">
        <f>IF(A158="","",'Produtos'!F158)</f>
        <v/>
      </c>
      <c r="E158" s="67">
        <f>IF(A158="","",SUMIFS('Movimentações'!$F$5:$F$1004,'Movimentações'!$C$5:$C$1004,A158,'Movimentações'!$E$5:$E$1004,"Entrada"))</f>
        <v/>
      </c>
      <c r="F158" s="67">
        <f>IF(A158="","",SUMIFS('Movimentações'!$F$5:$F$1004,'Movimentações'!$C$5:$C$1004,A158,'Movimentações'!$E$5:$E$1004,"Saída"))</f>
        <v/>
      </c>
      <c r="G158" s="67">
        <f>IF(A158="","",D158+E158-F158)</f>
        <v/>
      </c>
      <c r="H158" s="67">
        <f>IF(A158="","",'Produtos'!G158)</f>
        <v/>
      </c>
      <c r="I158" s="67">
        <f>IF(A158="","",'Produtos'!H158)</f>
        <v/>
      </c>
      <c r="J158" s="70">
        <f>IF(A158="","",'Produtos'!E158)</f>
        <v/>
      </c>
      <c r="K158" s="70">
        <f>IF(A158="","",G158*J158)</f>
        <v/>
      </c>
      <c r="L158" s="69">
        <f>IF(A158="","",IF(G158&lt;=0,"CRÍTICO",IF(G158&lt;=H158,"REPOR","OK")))</f>
        <v/>
      </c>
      <c r="M158" s="67">
        <f>IF(A158="","",IF(L158="OK",0,MAX(0,I158-G158)))</f>
        <v/>
      </c>
      <c r="N158" s="71">
        <f>IF(A158="","",IF(H158&gt;0,G158/H158,99))</f>
        <v/>
      </c>
      <c r="O158" s="68">
        <f>IF(A158="","",IF(L158="OK","",N158+ROW()/100000))</f>
        <v/>
      </c>
    </row>
    <row r="159">
      <c r="A159" s="69">
        <f>IF('Produtos'!A159="","",'Produtos'!A159)</f>
        <v/>
      </c>
      <c r="B159" s="66">
        <f>IF(A159="","",'Produtos'!B159)</f>
        <v/>
      </c>
      <c r="C159" s="66">
        <f>IF(A159="","",'Produtos'!C159)</f>
        <v/>
      </c>
      <c r="D159" s="67">
        <f>IF(A159="","",'Produtos'!F159)</f>
        <v/>
      </c>
      <c r="E159" s="67">
        <f>IF(A159="","",SUMIFS('Movimentações'!$F$5:$F$1004,'Movimentações'!$C$5:$C$1004,A159,'Movimentações'!$E$5:$E$1004,"Entrada"))</f>
        <v/>
      </c>
      <c r="F159" s="67">
        <f>IF(A159="","",SUMIFS('Movimentações'!$F$5:$F$1004,'Movimentações'!$C$5:$C$1004,A159,'Movimentações'!$E$5:$E$1004,"Saída"))</f>
        <v/>
      </c>
      <c r="G159" s="67">
        <f>IF(A159="","",D159+E159-F159)</f>
        <v/>
      </c>
      <c r="H159" s="67">
        <f>IF(A159="","",'Produtos'!G159)</f>
        <v/>
      </c>
      <c r="I159" s="67">
        <f>IF(A159="","",'Produtos'!H159)</f>
        <v/>
      </c>
      <c r="J159" s="70">
        <f>IF(A159="","",'Produtos'!E159)</f>
        <v/>
      </c>
      <c r="K159" s="70">
        <f>IF(A159="","",G159*J159)</f>
        <v/>
      </c>
      <c r="L159" s="69">
        <f>IF(A159="","",IF(G159&lt;=0,"CRÍTICO",IF(G159&lt;=H159,"REPOR","OK")))</f>
        <v/>
      </c>
      <c r="M159" s="67">
        <f>IF(A159="","",IF(L159="OK",0,MAX(0,I159-G159)))</f>
        <v/>
      </c>
      <c r="N159" s="71">
        <f>IF(A159="","",IF(H159&gt;0,G159/H159,99))</f>
        <v/>
      </c>
      <c r="O159" s="68">
        <f>IF(A159="","",IF(L159="OK","",N159+ROW()/100000))</f>
        <v/>
      </c>
    </row>
    <row r="160">
      <c r="A160" s="69">
        <f>IF('Produtos'!A160="","",'Produtos'!A160)</f>
        <v/>
      </c>
      <c r="B160" s="66">
        <f>IF(A160="","",'Produtos'!B160)</f>
        <v/>
      </c>
      <c r="C160" s="66">
        <f>IF(A160="","",'Produtos'!C160)</f>
        <v/>
      </c>
      <c r="D160" s="67">
        <f>IF(A160="","",'Produtos'!F160)</f>
        <v/>
      </c>
      <c r="E160" s="67">
        <f>IF(A160="","",SUMIFS('Movimentações'!$F$5:$F$1004,'Movimentações'!$C$5:$C$1004,A160,'Movimentações'!$E$5:$E$1004,"Entrada"))</f>
        <v/>
      </c>
      <c r="F160" s="67">
        <f>IF(A160="","",SUMIFS('Movimentações'!$F$5:$F$1004,'Movimentações'!$C$5:$C$1004,A160,'Movimentações'!$E$5:$E$1004,"Saída"))</f>
        <v/>
      </c>
      <c r="G160" s="67">
        <f>IF(A160="","",D160+E160-F160)</f>
        <v/>
      </c>
      <c r="H160" s="67">
        <f>IF(A160="","",'Produtos'!G160)</f>
        <v/>
      </c>
      <c r="I160" s="67">
        <f>IF(A160="","",'Produtos'!H160)</f>
        <v/>
      </c>
      <c r="J160" s="70">
        <f>IF(A160="","",'Produtos'!E160)</f>
        <v/>
      </c>
      <c r="K160" s="70">
        <f>IF(A160="","",G160*J160)</f>
        <v/>
      </c>
      <c r="L160" s="69">
        <f>IF(A160="","",IF(G160&lt;=0,"CRÍTICO",IF(G160&lt;=H160,"REPOR","OK")))</f>
        <v/>
      </c>
      <c r="M160" s="67">
        <f>IF(A160="","",IF(L160="OK",0,MAX(0,I160-G160)))</f>
        <v/>
      </c>
      <c r="N160" s="71">
        <f>IF(A160="","",IF(H160&gt;0,G160/H160,99))</f>
        <v/>
      </c>
      <c r="O160" s="68">
        <f>IF(A160="","",IF(L160="OK","",N160+ROW()/100000))</f>
        <v/>
      </c>
    </row>
    <row r="161">
      <c r="A161" s="69">
        <f>IF('Produtos'!A161="","",'Produtos'!A161)</f>
        <v/>
      </c>
      <c r="B161" s="66">
        <f>IF(A161="","",'Produtos'!B161)</f>
        <v/>
      </c>
      <c r="C161" s="66">
        <f>IF(A161="","",'Produtos'!C161)</f>
        <v/>
      </c>
      <c r="D161" s="67">
        <f>IF(A161="","",'Produtos'!F161)</f>
        <v/>
      </c>
      <c r="E161" s="67">
        <f>IF(A161="","",SUMIFS('Movimentações'!$F$5:$F$1004,'Movimentações'!$C$5:$C$1004,A161,'Movimentações'!$E$5:$E$1004,"Entrada"))</f>
        <v/>
      </c>
      <c r="F161" s="67">
        <f>IF(A161="","",SUMIFS('Movimentações'!$F$5:$F$1004,'Movimentações'!$C$5:$C$1004,A161,'Movimentações'!$E$5:$E$1004,"Saída"))</f>
        <v/>
      </c>
      <c r="G161" s="67">
        <f>IF(A161="","",D161+E161-F161)</f>
        <v/>
      </c>
      <c r="H161" s="67">
        <f>IF(A161="","",'Produtos'!G161)</f>
        <v/>
      </c>
      <c r="I161" s="67">
        <f>IF(A161="","",'Produtos'!H161)</f>
        <v/>
      </c>
      <c r="J161" s="70">
        <f>IF(A161="","",'Produtos'!E161)</f>
        <v/>
      </c>
      <c r="K161" s="70">
        <f>IF(A161="","",G161*J161)</f>
        <v/>
      </c>
      <c r="L161" s="69">
        <f>IF(A161="","",IF(G161&lt;=0,"CRÍTICO",IF(G161&lt;=H161,"REPOR","OK")))</f>
        <v/>
      </c>
      <c r="M161" s="67">
        <f>IF(A161="","",IF(L161="OK",0,MAX(0,I161-G161)))</f>
        <v/>
      </c>
      <c r="N161" s="71">
        <f>IF(A161="","",IF(H161&gt;0,G161/H161,99))</f>
        <v/>
      </c>
      <c r="O161" s="68">
        <f>IF(A161="","",IF(L161="OK","",N161+ROW()/100000))</f>
        <v/>
      </c>
    </row>
    <row r="162">
      <c r="A162" s="69">
        <f>IF('Produtos'!A162="","",'Produtos'!A162)</f>
        <v/>
      </c>
      <c r="B162" s="66">
        <f>IF(A162="","",'Produtos'!B162)</f>
        <v/>
      </c>
      <c r="C162" s="66">
        <f>IF(A162="","",'Produtos'!C162)</f>
        <v/>
      </c>
      <c r="D162" s="67">
        <f>IF(A162="","",'Produtos'!F162)</f>
        <v/>
      </c>
      <c r="E162" s="67">
        <f>IF(A162="","",SUMIFS('Movimentações'!$F$5:$F$1004,'Movimentações'!$C$5:$C$1004,A162,'Movimentações'!$E$5:$E$1004,"Entrada"))</f>
        <v/>
      </c>
      <c r="F162" s="67">
        <f>IF(A162="","",SUMIFS('Movimentações'!$F$5:$F$1004,'Movimentações'!$C$5:$C$1004,A162,'Movimentações'!$E$5:$E$1004,"Saída"))</f>
        <v/>
      </c>
      <c r="G162" s="67">
        <f>IF(A162="","",D162+E162-F162)</f>
        <v/>
      </c>
      <c r="H162" s="67">
        <f>IF(A162="","",'Produtos'!G162)</f>
        <v/>
      </c>
      <c r="I162" s="67">
        <f>IF(A162="","",'Produtos'!H162)</f>
        <v/>
      </c>
      <c r="J162" s="70">
        <f>IF(A162="","",'Produtos'!E162)</f>
        <v/>
      </c>
      <c r="K162" s="70">
        <f>IF(A162="","",G162*J162)</f>
        <v/>
      </c>
      <c r="L162" s="69">
        <f>IF(A162="","",IF(G162&lt;=0,"CRÍTICO",IF(G162&lt;=H162,"REPOR","OK")))</f>
        <v/>
      </c>
      <c r="M162" s="67">
        <f>IF(A162="","",IF(L162="OK",0,MAX(0,I162-G162)))</f>
        <v/>
      </c>
      <c r="N162" s="71">
        <f>IF(A162="","",IF(H162&gt;0,G162/H162,99))</f>
        <v/>
      </c>
      <c r="O162" s="68">
        <f>IF(A162="","",IF(L162="OK","",N162+ROW()/100000))</f>
        <v/>
      </c>
    </row>
    <row r="163">
      <c r="A163" s="69">
        <f>IF('Produtos'!A163="","",'Produtos'!A163)</f>
        <v/>
      </c>
      <c r="B163" s="66">
        <f>IF(A163="","",'Produtos'!B163)</f>
        <v/>
      </c>
      <c r="C163" s="66">
        <f>IF(A163="","",'Produtos'!C163)</f>
        <v/>
      </c>
      <c r="D163" s="67">
        <f>IF(A163="","",'Produtos'!F163)</f>
        <v/>
      </c>
      <c r="E163" s="67">
        <f>IF(A163="","",SUMIFS('Movimentações'!$F$5:$F$1004,'Movimentações'!$C$5:$C$1004,A163,'Movimentações'!$E$5:$E$1004,"Entrada"))</f>
        <v/>
      </c>
      <c r="F163" s="67">
        <f>IF(A163="","",SUMIFS('Movimentações'!$F$5:$F$1004,'Movimentações'!$C$5:$C$1004,A163,'Movimentações'!$E$5:$E$1004,"Saída"))</f>
        <v/>
      </c>
      <c r="G163" s="67">
        <f>IF(A163="","",D163+E163-F163)</f>
        <v/>
      </c>
      <c r="H163" s="67">
        <f>IF(A163="","",'Produtos'!G163)</f>
        <v/>
      </c>
      <c r="I163" s="67">
        <f>IF(A163="","",'Produtos'!H163)</f>
        <v/>
      </c>
      <c r="J163" s="70">
        <f>IF(A163="","",'Produtos'!E163)</f>
        <v/>
      </c>
      <c r="K163" s="70">
        <f>IF(A163="","",G163*J163)</f>
        <v/>
      </c>
      <c r="L163" s="69">
        <f>IF(A163="","",IF(G163&lt;=0,"CRÍTICO",IF(G163&lt;=H163,"REPOR","OK")))</f>
        <v/>
      </c>
      <c r="M163" s="67">
        <f>IF(A163="","",IF(L163="OK",0,MAX(0,I163-G163)))</f>
        <v/>
      </c>
      <c r="N163" s="71">
        <f>IF(A163="","",IF(H163&gt;0,G163/H163,99))</f>
        <v/>
      </c>
      <c r="O163" s="68">
        <f>IF(A163="","",IF(L163="OK","",N163+ROW()/100000))</f>
        <v/>
      </c>
    </row>
    <row r="164">
      <c r="A164" s="69">
        <f>IF('Produtos'!A164="","",'Produtos'!A164)</f>
        <v/>
      </c>
      <c r="B164" s="66">
        <f>IF(A164="","",'Produtos'!B164)</f>
        <v/>
      </c>
      <c r="C164" s="66">
        <f>IF(A164="","",'Produtos'!C164)</f>
        <v/>
      </c>
      <c r="D164" s="67">
        <f>IF(A164="","",'Produtos'!F164)</f>
        <v/>
      </c>
      <c r="E164" s="67">
        <f>IF(A164="","",SUMIFS('Movimentações'!$F$5:$F$1004,'Movimentações'!$C$5:$C$1004,A164,'Movimentações'!$E$5:$E$1004,"Entrada"))</f>
        <v/>
      </c>
      <c r="F164" s="67">
        <f>IF(A164="","",SUMIFS('Movimentações'!$F$5:$F$1004,'Movimentações'!$C$5:$C$1004,A164,'Movimentações'!$E$5:$E$1004,"Saída"))</f>
        <v/>
      </c>
      <c r="G164" s="67">
        <f>IF(A164="","",D164+E164-F164)</f>
        <v/>
      </c>
      <c r="H164" s="67">
        <f>IF(A164="","",'Produtos'!G164)</f>
        <v/>
      </c>
      <c r="I164" s="67">
        <f>IF(A164="","",'Produtos'!H164)</f>
        <v/>
      </c>
      <c r="J164" s="70">
        <f>IF(A164="","",'Produtos'!E164)</f>
        <v/>
      </c>
      <c r="K164" s="70">
        <f>IF(A164="","",G164*J164)</f>
        <v/>
      </c>
      <c r="L164" s="69">
        <f>IF(A164="","",IF(G164&lt;=0,"CRÍTICO",IF(G164&lt;=H164,"REPOR","OK")))</f>
        <v/>
      </c>
      <c r="M164" s="67">
        <f>IF(A164="","",IF(L164="OK",0,MAX(0,I164-G164)))</f>
        <v/>
      </c>
      <c r="N164" s="71">
        <f>IF(A164="","",IF(H164&gt;0,G164/H164,99))</f>
        <v/>
      </c>
      <c r="O164" s="68">
        <f>IF(A164="","",IF(L164="OK","",N164+ROW()/100000))</f>
        <v/>
      </c>
    </row>
    <row r="165">
      <c r="A165" s="69">
        <f>IF('Produtos'!A165="","",'Produtos'!A165)</f>
        <v/>
      </c>
      <c r="B165" s="66">
        <f>IF(A165="","",'Produtos'!B165)</f>
        <v/>
      </c>
      <c r="C165" s="66">
        <f>IF(A165="","",'Produtos'!C165)</f>
        <v/>
      </c>
      <c r="D165" s="67">
        <f>IF(A165="","",'Produtos'!F165)</f>
        <v/>
      </c>
      <c r="E165" s="67">
        <f>IF(A165="","",SUMIFS('Movimentações'!$F$5:$F$1004,'Movimentações'!$C$5:$C$1004,A165,'Movimentações'!$E$5:$E$1004,"Entrada"))</f>
        <v/>
      </c>
      <c r="F165" s="67">
        <f>IF(A165="","",SUMIFS('Movimentações'!$F$5:$F$1004,'Movimentações'!$C$5:$C$1004,A165,'Movimentações'!$E$5:$E$1004,"Saída"))</f>
        <v/>
      </c>
      <c r="G165" s="67">
        <f>IF(A165="","",D165+E165-F165)</f>
        <v/>
      </c>
      <c r="H165" s="67">
        <f>IF(A165="","",'Produtos'!G165)</f>
        <v/>
      </c>
      <c r="I165" s="67">
        <f>IF(A165="","",'Produtos'!H165)</f>
        <v/>
      </c>
      <c r="J165" s="70">
        <f>IF(A165="","",'Produtos'!E165)</f>
        <v/>
      </c>
      <c r="K165" s="70">
        <f>IF(A165="","",G165*J165)</f>
        <v/>
      </c>
      <c r="L165" s="69">
        <f>IF(A165="","",IF(G165&lt;=0,"CRÍTICO",IF(G165&lt;=H165,"REPOR","OK")))</f>
        <v/>
      </c>
      <c r="M165" s="67">
        <f>IF(A165="","",IF(L165="OK",0,MAX(0,I165-G165)))</f>
        <v/>
      </c>
      <c r="N165" s="71">
        <f>IF(A165="","",IF(H165&gt;0,G165/H165,99))</f>
        <v/>
      </c>
      <c r="O165" s="68">
        <f>IF(A165="","",IF(L165="OK","",N165+ROW()/100000))</f>
        <v/>
      </c>
    </row>
    <row r="166">
      <c r="A166" s="69">
        <f>IF('Produtos'!A166="","",'Produtos'!A166)</f>
        <v/>
      </c>
      <c r="B166" s="66">
        <f>IF(A166="","",'Produtos'!B166)</f>
        <v/>
      </c>
      <c r="C166" s="66">
        <f>IF(A166="","",'Produtos'!C166)</f>
        <v/>
      </c>
      <c r="D166" s="67">
        <f>IF(A166="","",'Produtos'!F166)</f>
        <v/>
      </c>
      <c r="E166" s="67">
        <f>IF(A166="","",SUMIFS('Movimentações'!$F$5:$F$1004,'Movimentações'!$C$5:$C$1004,A166,'Movimentações'!$E$5:$E$1004,"Entrada"))</f>
        <v/>
      </c>
      <c r="F166" s="67">
        <f>IF(A166="","",SUMIFS('Movimentações'!$F$5:$F$1004,'Movimentações'!$C$5:$C$1004,A166,'Movimentações'!$E$5:$E$1004,"Saída"))</f>
        <v/>
      </c>
      <c r="G166" s="67">
        <f>IF(A166="","",D166+E166-F166)</f>
        <v/>
      </c>
      <c r="H166" s="67">
        <f>IF(A166="","",'Produtos'!G166)</f>
        <v/>
      </c>
      <c r="I166" s="67">
        <f>IF(A166="","",'Produtos'!H166)</f>
        <v/>
      </c>
      <c r="J166" s="70">
        <f>IF(A166="","",'Produtos'!E166)</f>
        <v/>
      </c>
      <c r="K166" s="70">
        <f>IF(A166="","",G166*J166)</f>
        <v/>
      </c>
      <c r="L166" s="69">
        <f>IF(A166="","",IF(G166&lt;=0,"CRÍTICO",IF(G166&lt;=H166,"REPOR","OK")))</f>
        <v/>
      </c>
      <c r="M166" s="67">
        <f>IF(A166="","",IF(L166="OK",0,MAX(0,I166-G166)))</f>
        <v/>
      </c>
      <c r="N166" s="71">
        <f>IF(A166="","",IF(H166&gt;0,G166/H166,99))</f>
        <v/>
      </c>
      <c r="O166" s="68">
        <f>IF(A166="","",IF(L166="OK","",N166+ROW()/100000))</f>
        <v/>
      </c>
    </row>
    <row r="167">
      <c r="A167" s="69">
        <f>IF('Produtos'!A167="","",'Produtos'!A167)</f>
        <v/>
      </c>
      <c r="B167" s="66">
        <f>IF(A167="","",'Produtos'!B167)</f>
        <v/>
      </c>
      <c r="C167" s="66">
        <f>IF(A167="","",'Produtos'!C167)</f>
        <v/>
      </c>
      <c r="D167" s="67">
        <f>IF(A167="","",'Produtos'!F167)</f>
        <v/>
      </c>
      <c r="E167" s="67">
        <f>IF(A167="","",SUMIFS('Movimentações'!$F$5:$F$1004,'Movimentações'!$C$5:$C$1004,A167,'Movimentações'!$E$5:$E$1004,"Entrada"))</f>
        <v/>
      </c>
      <c r="F167" s="67">
        <f>IF(A167="","",SUMIFS('Movimentações'!$F$5:$F$1004,'Movimentações'!$C$5:$C$1004,A167,'Movimentações'!$E$5:$E$1004,"Saída"))</f>
        <v/>
      </c>
      <c r="G167" s="67">
        <f>IF(A167="","",D167+E167-F167)</f>
        <v/>
      </c>
      <c r="H167" s="67">
        <f>IF(A167="","",'Produtos'!G167)</f>
        <v/>
      </c>
      <c r="I167" s="67">
        <f>IF(A167="","",'Produtos'!H167)</f>
        <v/>
      </c>
      <c r="J167" s="70">
        <f>IF(A167="","",'Produtos'!E167)</f>
        <v/>
      </c>
      <c r="K167" s="70">
        <f>IF(A167="","",G167*J167)</f>
        <v/>
      </c>
      <c r="L167" s="69">
        <f>IF(A167="","",IF(G167&lt;=0,"CRÍTICO",IF(G167&lt;=H167,"REPOR","OK")))</f>
        <v/>
      </c>
      <c r="M167" s="67">
        <f>IF(A167="","",IF(L167="OK",0,MAX(0,I167-G167)))</f>
        <v/>
      </c>
      <c r="N167" s="71">
        <f>IF(A167="","",IF(H167&gt;0,G167/H167,99))</f>
        <v/>
      </c>
      <c r="O167" s="68">
        <f>IF(A167="","",IF(L167="OK","",N167+ROW()/100000))</f>
        <v/>
      </c>
    </row>
    <row r="168">
      <c r="A168" s="69">
        <f>IF('Produtos'!A168="","",'Produtos'!A168)</f>
        <v/>
      </c>
      <c r="B168" s="66">
        <f>IF(A168="","",'Produtos'!B168)</f>
        <v/>
      </c>
      <c r="C168" s="66">
        <f>IF(A168="","",'Produtos'!C168)</f>
        <v/>
      </c>
      <c r="D168" s="67">
        <f>IF(A168="","",'Produtos'!F168)</f>
        <v/>
      </c>
      <c r="E168" s="67">
        <f>IF(A168="","",SUMIFS('Movimentações'!$F$5:$F$1004,'Movimentações'!$C$5:$C$1004,A168,'Movimentações'!$E$5:$E$1004,"Entrada"))</f>
        <v/>
      </c>
      <c r="F168" s="67">
        <f>IF(A168="","",SUMIFS('Movimentações'!$F$5:$F$1004,'Movimentações'!$C$5:$C$1004,A168,'Movimentações'!$E$5:$E$1004,"Saída"))</f>
        <v/>
      </c>
      <c r="G168" s="67">
        <f>IF(A168="","",D168+E168-F168)</f>
        <v/>
      </c>
      <c r="H168" s="67">
        <f>IF(A168="","",'Produtos'!G168)</f>
        <v/>
      </c>
      <c r="I168" s="67">
        <f>IF(A168="","",'Produtos'!H168)</f>
        <v/>
      </c>
      <c r="J168" s="70">
        <f>IF(A168="","",'Produtos'!E168)</f>
        <v/>
      </c>
      <c r="K168" s="70">
        <f>IF(A168="","",G168*J168)</f>
        <v/>
      </c>
      <c r="L168" s="69">
        <f>IF(A168="","",IF(G168&lt;=0,"CRÍTICO",IF(G168&lt;=H168,"REPOR","OK")))</f>
        <v/>
      </c>
      <c r="M168" s="67">
        <f>IF(A168="","",IF(L168="OK",0,MAX(0,I168-G168)))</f>
        <v/>
      </c>
      <c r="N168" s="71">
        <f>IF(A168="","",IF(H168&gt;0,G168/H168,99))</f>
        <v/>
      </c>
      <c r="O168" s="68">
        <f>IF(A168="","",IF(L168="OK","",N168+ROW()/100000))</f>
        <v/>
      </c>
    </row>
    <row r="169">
      <c r="A169" s="69">
        <f>IF('Produtos'!A169="","",'Produtos'!A169)</f>
        <v/>
      </c>
      <c r="B169" s="66">
        <f>IF(A169="","",'Produtos'!B169)</f>
        <v/>
      </c>
      <c r="C169" s="66">
        <f>IF(A169="","",'Produtos'!C169)</f>
        <v/>
      </c>
      <c r="D169" s="67">
        <f>IF(A169="","",'Produtos'!F169)</f>
        <v/>
      </c>
      <c r="E169" s="67">
        <f>IF(A169="","",SUMIFS('Movimentações'!$F$5:$F$1004,'Movimentações'!$C$5:$C$1004,A169,'Movimentações'!$E$5:$E$1004,"Entrada"))</f>
        <v/>
      </c>
      <c r="F169" s="67">
        <f>IF(A169="","",SUMIFS('Movimentações'!$F$5:$F$1004,'Movimentações'!$C$5:$C$1004,A169,'Movimentações'!$E$5:$E$1004,"Saída"))</f>
        <v/>
      </c>
      <c r="G169" s="67">
        <f>IF(A169="","",D169+E169-F169)</f>
        <v/>
      </c>
      <c r="H169" s="67">
        <f>IF(A169="","",'Produtos'!G169)</f>
        <v/>
      </c>
      <c r="I169" s="67">
        <f>IF(A169="","",'Produtos'!H169)</f>
        <v/>
      </c>
      <c r="J169" s="70">
        <f>IF(A169="","",'Produtos'!E169)</f>
        <v/>
      </c>
      <c r="K169" s="70">
        <f>IF(A169="","",G169*J169)</f>
        <v/>
      </c>
      <c r="L169" s="69">
        <f>IF(A169="","",IF(G169&lt;=0,"CRÍTICO",IF(G169&lt;=H169,"REPOR","OK")))</f>
        <v/>
      </c>
      <c r="M169" s="67">
        <f>IF(A169="","",IF(L169="OK",0,MAX(0,I169-G169)))</f>
        <v/>
      </c>
      <c r="N169" s="71">
        <f>IF(A169="","",IF(H169&gt;0,G169/H169,99))</f>
        <v/>
      </c>
      <c r="O169" s="68">
        <f>IF(A169="","",IF(L169="OK","",N169+ROW()/100000))</f>
        <v/>
      </c>
    </row>
    <row r="170">
      <c r="A170" s="69">
        <f>IF('Produtos'!A170="","",'Produtos'!A170)</f>
        <v/>
      </c>
      <c r="B170" s="66">
        <f>IF(A170="","",'Produtos'!B170)</f>
        <v/>
      </c>
      <c r="C170" s="66">
        <f>IF(A170="","",'Produtos'!C170)</f>
        <v/>
      </c>
      <c r="D170" s="67">
        <f>IF(A170="","",'Produtos'!F170)</f>
        <v/>
      </c>
      <c r="E170" s="67">
        <f>IF(A170="","",SUMIFS('Movimentações'!$F$5:$F$1004,'Movimentações'!$C$5:$C$1004,A170,'Movimentações'!$E$5:$E$1004,"Entrada"))</f>
        <v/>
      </c>
      <c r="F170" s="67">
        <f>IF(A170="","",SUMIFS('Movimentações'!$F$5:$F$1004,'Movimentações'!$C$5:$C$1004,A170,'Movimentações'!$E$5:$E$1004,"Saída"))</f>
        <v/>
      </c>
      <c r="G170" s="67">
        <f>IF(A170="","",D170+E170-F170)</f>
        <v/>
      </c>
      <c r="H170" s="67">
        <f>IF(A170="","",'Produtos'!G170)</f>
        <v/>
      </c>
      <c r="I170" s="67">
        <f>IF(A170="","",'Produtos'!H170)</f>
        <v/>
      </c>
      <c r="J170" s="70">
        <f>IF(A170="","",'Produtos'!E170)</f>
        <v/>
      </c>
      <c r="K170" s="70">
        <f>IF(A170="","",G170*J170)</f>
        <v/>
      </c>
      <c r="L170" s="69">
        <f>IF(A170="","",IF(G170&lt;=0,"CRÍTICO",IF(G170&lt;=H170,"REPOR","OK")))</f>
        <v/>
      </c>
      <c r="M170" s="67">
        <f>IF(A170="","",IF(L170="OK",0,MAX(0,I170-G170)))</f>
        <v/>
      </c>
      <c r="N170" s="71">
        <f>IF(A170="","",IF(H170&gt;0,G170/H170,99))</f>
        <v/>
      </c>
      <c r="O170" s="68">
        <f>IF(A170="","",IF(L170="OK","",N170+ROW()/100000))</f>
        <v/>
      </c>
    </row>
    <row r="171">
      <c r="A171" s="69">
        <f>IF('Produtos'!A171="","",'Produtos'!A171)</f>
        <v/>
      </c>
      <c r="B171" s="66">
        <f>IF(A171="","",'Produtos'!B171)</f>
        <v/>
      </c>
      <c r="C171" s="66">
        <f>IF(A171="","",'Produtos'!C171)</f>
        <v/>
      </c>
      <c r="D171" s="67">
        <f>IF(A171="","",'Produtos'!F171)</f>
        <v/>
      </c>
      <c r="E171" s="67">
        <f>IF(A171="","",SUMIFS('Movimentações'!$F$5:$F$1004,'Movimentações'!$C$5:$C$1004,A171,'Movimentações'!$E$5:$E$1004,"Entrada"))</f>
        <v/>
      </c>
      <c r="F171" s="67">
        <f>IF(A171="","",SUMIFS('Movimentações'!$F$5:$F$1004,'Movimentações'!$C$5:$C$1004,A171,'Movimentações'!$E$5:$E$1004,"Saída"))</f>
        <v/>
      </c>
      <c r="G171" s="67">
        <f>IF(A171="","",D171+E171-F171)</f>
        <v/>
      </c>
      <c r="H171" s="67">
        <f>IF(A171="","",'Produtos'!G171)</f>
        <v/>
      </c>
      <c r="I171" s="67">
        <f>IF(A171="","",'Produtos'!H171)</f>
        <v/>
      </c>
      <c r="J171" s="70">
        <f>IF(A171="","",'Produtos'!E171)</f>
        <v/>
      </c>
      <c r="K171" s="70">
        <f>IF(A171="","",G171*J171)</f>
        <v/>
      </c>
      <c r="L171" s="69">
        <f>IF(A171="","",IF(G171&lt;=0,"CRÍTICO",IF(G171&lt;=H171,"REPOR","OK")))</f>
        <v/>
      </c>
      <c r="M171" s="67">
        <f>IF(A171="","",IF(L171="OK",0,MAX(0,I171-G171)))</f>
        <v/>
      </c>
      <c r="N171" s="71">
        <f>IF(A171="","",IF(H171&gt;0,G171/H171,99))</f>
        <v/>
      </c>
      <c r="O171" s="68">
        <f>IF(A171="","",IF(L171="OK","",N171+ROW()/100000))</f>
        <v/>
      </c>
    </row>
    <row r="172">
      <c r="A172" s="69">
        <f>IF('Produtos'!A172="","",'Produtos'!A172)</f>
        <v/>
      </c>
      <c r="B172" s="66">
        <f>IF(A172="","",'Produtos'!B172)</f>
        <v/>
      </c>
      <c r="C172" s="66">
        <f>IF(A172="","",'Produtos'!C172)</f>
        <v/>
      </c>
      <c r="D172" s="67">
        <f>IF(A172="","",'Produtos'!F172)</f>
        <v/>
      </c>
      <c r="E172" s="67">
        <f>IF(A172="","",SUMIFS('Movimentações'!$F$5:$F$1004,'Movimentações'!$C$5:$C$1004,A172,'Movimentações'!$E$5:$E$1004,"Entrada"))</f>
        <v/>
      </c>
      <c r="F172" s="67">
        <f>IF(A172="","",SUMIFS('Movimentações'!$F$5:$F$1004,'Movimentações'!$C$5:$C$1004,A172,'Movimentações'!$E$5:$E$1004,"Saída"))</f>
        <v/>
      </c>
      <c r="G172" s="67">
        <f>IF(A172="","",D172+E172-F172)</f>
        <v/>
      </c>
      <c r="H172" s="67">
        <f>IF(A172="","",'Produtos'!G172)</f>
        <v/>
      </c>
      <c r="I172" s="67">
        <f>IF(A172="","",'Produtos'!H172)</f>
        <v/>
      </c>
      <c r="J172" s="70">
        <f>IF(A172="","",'Produtos'!E172)</f>
        <v/>
      </c>
      <c r="K172" s="70">
        <f>IF(A172="","",G172*J172)</f>
        <v/>
      </c>
      <c r="L172" s="69">
        <f>IF(A172="","",IF(G172&lt;=0,"CRÍTICO",IF(G172&lt;=H172,"REPOR","OK")))</f>
        <v/>
      </c>
      <c r="M172" s="67">
        <f>IF(A172="","",IF(L172="OK",0,MAX(0,I172-G172)))</f>
        <v/>
      </c>
      <c r="N172" s="71">
        <f>IF(A172="","",IF(H172&gt;0,G172/H172,99))</f>
        <v/>
      </c>
      <c r="O172" s="68">
        <f>IF(A172="","",IF(L172="OK","",N172+ROW()/100000))</f>
        <v/>
      </c>
    </row>
    <row r="173">
      <c r="A173" s="69">
        <f>IF('Produtos'!A173="","",'Produtos'!A173)</f>
        <v/>
      </c>
      <c r="B173" s="66">
        <f>IF(A173="","",'Produtos'!B173)</f>
        <v/>
      </c>
      <c r="C173" s="66">
        <f>IF(A173="","",'Produtos'!C173)</f>
        <v/>
      </c>
      <c r="D173" s="67">
        <f>IF(A173="","",'Produtos'!F173)</f>
        <v/>
      </c>
      <c r="E173" s="67">
        <f>IF(A173="","",SUMIFS('Movimentações'!$F$5:$F$1004,'Movimentações'!$C$5:$C$1004,A173,'Movimentações'!$E$5:$E$1004,"Entrada"))</f>
        <v/>
      </c>
      <c r="F173" s="67">
        <f>IF(A173="","",SUMIFS('Movimentações'!$F$5:$F$1004,'Movimentações'!$C$5:$C$1004,A173,'Movimentações'!$E$5:$E$1004,"Saída"))</f>
        <v/>
      </c>
      <c r="G173" s="67">
        <f>IF(A173="","",D173+E173-F173)</f>
        <v/>
      </c>
      <c r="H173" s="67">
        <f>IF(A173="","",'Produtos'!G173)</f>
        <v/>
      </c>
      <c r="I173" s="67">
        <f>IF(A173="","",'Produtos'!H173)</f>
        <v/>
      </c>
      <c r="J173" s="70">
        <f>IF(A173="","",'Produtos'!E173)</f>
        <v/>
      </c>
      <c r="K173" s="70">
        <f>IF(A173="","",G173*J173)</f>
        <v/>
      </c>
      <c r="L173" s="69">
        <f>IF(A173="","",IF(G173&lt;=0,"CRÍTICO",IF(G173&lt;=H173,"REPOR","OK")))</f>
        <v/>
      </c>
      <c r="M173" s="67">
        <f>IF(A173="","",IF(L173="OK",0,MAX(0,I173-G173)))</f>
        <v/>
      </c>
      <c r="N173" s="71">
        <f>IF(A173="","",IF(H173&gt;0,G173/H173,99))</f>
        <v/>
      </c>
      <c r="O173" s="68">
        <f>IF(A173="","",IF(L173="OK","",N173+ROW()/100000))</f>
        <v/>
      </c>
    </row>
    <row r="174">
      <c r="A174" s="69">
        <f>IF('Produtos'!A174="","",'Produtos'!A174)</f>
        <v/>
      </c>
      <c r="B174" s="66">
        <f>IF(A174="","",'Produtos'!B174)</f>
        <v/>
      </c>
      <c r="C174" s="66">
        <f>IF(A174="","",'Produtos'!C174)</f>
        <v/>
      </c>
      <c r="D174" s="67">
        <f>IF(A174="","",'Produtos'!F174)</f>
        <v/>
      </c>
      <c r="E174" s="67">
        <f>IF(A174="","",SUMIFS('Movimentações'!$F$5:$F$1004,'Movimentações'!$C$5:$C$1004,A174,'Movimentações'!$E$5:$E$1004,"Entrada"))</f>
        <v/>
      </c>
      <c r="F174" s="67">
        <f>IF(A174="","",SUMIFS('Movimentações'!$F$5:$F$1004,'Movimentações'!$C$5:$C$1004,A174,'Movimentações'!$E$5:$E$1004,"Saída"))</f>
        <v/>
      </c>
      <c r="G174" s="67">
        <f>IF(A174="","",D174+E174-F174)</f>
        <v/>
      </c>
      <c r="H174" s="67">
        <f>IF(A174="","",'Produtos'!G174)</f>
        <v/>
      </c>
      <c r="I174" s="67">
        <f>IF(A174="","",'Produtos'!H174)</f>
        <v/>
      </c>
      <c r="J174" s="70">
        <f>IF(A174="","",'Produtos'!E174)</f>
        <v/>
      </c>
      <c r="K174" s="70">
        <f>IF(A174="","",G174*J174)</f>
        <v/>
      </c>
      <c r="L174" s="69">
        <f>IF(A174="","",IF(G174&lt;=0,"CRÍTICO",IF(G174&lt;=H174,"REPOR","OK")))</f>
        <v/>
      </c>
      <c r="M174" s="67">
        <f>IF(A174="","",IF(L174="OK",0,MAX(0,I174-G174)))</f>
        <v/>
      </c>
      <c r="N174" s="71">
        <f>IF(A174="","",IF(H174&gt;0,G174/H174,99))</f>
        <v/>
      </c>
      <c r="O174" s="68">
        <f>IF(A174="","",IF(L174="OK","",N174+ROW()/100000))</f>
        <v/>
      </c>
    </row>
    <row r="175">
      <c r="A175" s="69">
        <f>IF('Produtos'!A175="","",'Produtos'!A175)</f>
        <v/>
      </c>
      <c r="B175" s="66">
        <f>IF(A175="","",'Produtos'!B175)</f>
        <v/>
      </c>
      <c r="C175" s="66">
        <f>IF(A175="","",'Produtos'!C175)</f>
        <v/>
      </c>
      <c r="D175" s="67">
        <f>IF(A175="","",'Produtos'!F175)</f>
        <v/>
      </c>
      <c r="E175" s="67">
        <f>IF(A175="","",SUMIFS('Movimentações'!$F$5:$F$1004,'Movimentações'!$C$5:$C$1004,A175,'Movimentações'!$E$5:$E$1004,"Entrada"))</f>
        <v/>
      </c>
      <c r="F175" s="67">
        <f>IF(A175="","",SUMIFS('Movimentações'!$F$5:$F$1004,'Movimentações'!$C$5:$C$1004,A175,'Movimentações'!$E$5:$E$1004,"Saída"))</f>
        <v/>
      </c>
      <c r="G175" s="67">
        <f>IF(A175="","",D175+E175-F175)</f>
        <v/>
      </c>
      <c r="H175" s="67">
        <f>IF(A175="","",'Produtos'!G175)</f>
        <v/>
      </c>
      <c r="I175" s="67">
        <f>IF(A175="","",'Produtos'!H175)</f>
        <v/>
      </c>
      <c r="J175" s="70">
        <f>IF(A175="","",'Produtos'!E175)</f>
        <v/>
      </c>
      <c r="K175" s="70">
        <f>IF(A175="","",G175*J175)</f>
        <v/>
      </c>
      <c r="L175" s="69">
        <f>IF(A175="","",IF(G175&lt;=0,"CRÍTICO",IF(G175&lt;=H175,"REPOR","OK")))</f>
        <v/>
      </c>
      <c r="M175" s="67">
        <f>IF(A175="","",IF(L175="OK",0,MAX(0,I175-G175)))</f>
        <v/>
      </c>
      <c r="N175" s="71">
        <f>IF(A175="","",IF(H175&gt;0,G175/H175,99))</f>
        <v/>
      </c>
      <c r="O175" s="68">
        <f>IF(A175="","",IF(L175="OK","",N175+ROW()/100000))</f>
        <v/>
      </c>
    </row>
    <row r="176">
      <c r="A176" s="69">
        <f>IF('Produtos'!A176="","",'Produtos'!A176)</f>
        <v/>
      </c>
      <c r="B176" s="66">
        <f>IF(A176="","",'Produtos'!B176)</f>
        <v/>
      </c>
      <c r="C176" s="66">
        <f>IF(A176="","",'Produtos'!C176)</f>
        <v/>
      </c>
      <c r="D176" s="67">
        <f>IF(A176="","",'Produtos'!F176)</f>
        <v/>
      </c>
      <c r="E176" s="67">
        <f>IF(A176="","",SUMIFS('Movimentações'!$F$5:$F$1004,'Movimentações'!$C$5:$C$1004,A176,'Movimentações'!$E$5:$E$1004,"Entrada"))</f>
        <v/>
      </c>
      <c r="F176" s="67">
        <f>IF(A176="","",SUMIFS('Movimentações'!$F$5:$F$1004,'Movimentações'!$C$5:$C$1004,A176,'Movimentações'!$E$5:$E$1004,"Saída"))</f>
        <v/>
      </c>
      <c r="G176" s="67">
        <f>IF(A176="","",D176+E176-F176)</f>
        <v/>
      </c>
      <c r="H176" s="67">
        <f>IF(A176="","",'Produtos'!G176)</f>
        <v/>
      </c>
      <c r="I176" s="67">
        <f>IF(A176="","",'Produtos'!H176)</f>
        <v/>
      </c>
      <c r="J176" s="70">
        <f>IF(A176="","",'Produtos'!E176)</f>
        <v/>
      </c>
      <c r="K176" s="70">
        <f>IF(A176="","",G176*J176)</f>
        <v/>
      </c>
      <c r="L176" s="69">
        <f>IF(A176="","",IF(G176&lt;=0,"CRÍTICO",IF(G176&lt;=H176,"REPOR","OK")))</f>
        <v/>
      </c>
      <c r="M176" s="67">
        <f>IF(A176="","",IF(L176="OK",0,MAX(0,I176-G176)))</f>
        <v/>
      </c>
      <c r="N176" s="71">
        <f>IF(A176="","",IF(H176&gt;0,G176/H176,99))</f>
        <v/>
      </c>
      <c r="O176" s="68">
        <f>IF(A176="","",IF(L176="OK","",N176+ROW()/100000))</f>
        <v/>
      </c>
    </row>
    <row r="177">
      <c r="A177" s="69">
        <f>IF('Produtos'!A177="","",'Produtos'!A177)</f>
        <v/>
      </c>
      <c r="B177" s="66">
        <f>IF(A177="","",'Produtos'!B177)</f>
        <v/>
      </c>
      <c r="C177" s="66">
        <f>IF(A177="","",'Produtos'!C177)</f>
        <v/>
      </c>
      <c r="D177" s="67">
        <f>IF(A177="","",'Produtos'!F177)</f>
        <v/>
      </c>
      <c r="E177" s="67">
        <f>IF(A177="","",SUMIFS('Movimentações'!$F$5:$F$1004,'Movimentações'!$C$5:$C$1004,A177,'Movimentações'!$E$5:$E$1004,"Entrada"))</f>
        <v/>
      </c>
      <c r="F177" s="67">
        <f>IF(A177="","",SUMIFS('Movimentações'!$F$5:$F$1004,'Movimentações'!$C$5:$C$1004,A177,'Movimentações'!$E$5:$E$1004,"Saída"))</f>
        <v/>
      </c>
      <c r="G177" s="67">
        <f>IF(A177="","",D177+E177-F177)</f>
        <v/>
      </c>
      <c r="H177" s="67">
        <f>IF(A177="","",'Produtos'!G177)</f>
        <v/>
      </c>
      <c r="I177" s="67">
        <f>IF(A177="","",'Produtos'!H177)</f>
        <v/>
      </c>
      <c r="J177" s="70">
        <f>IF(A177="","",'Produtos'!E177)</f>
        <v/>
      </c>
      <c r="K177" s="70">
        <f>IF(A177="","",G177*J177)</f>
        <v/>
      </c>
      <c r="L177" s="69">
        <f>IF(A177="","",IF(G177&lt;=0,"CRÍTICO",IF(G177&lt;=H177,"REPOR","OK")))</f>
        <v/>
      </c>
      <c r="M177" s="67">
        <f>IF(A177="","",IF(L177="OK",0,MAX(0,I177-G177)))</f>
        <v/>
      </c>
      <c r="N177" s="71">
        <f>IF(A177="","",IF(H177&gt;0,G177/H177,99))</f>
        <v/>
      </c>
      <c r="O177" s="68">
        <f>IF(A177="","",IF(L177="OK","",N177+ROW()/100000))</f>
        <v/>
      </c>
    </row>
    <row r="178">
      <c r="A178" s="69">
        <f>IF('Produtos'!A178="","",'Produtos'!A178)</f>
        <v/>
      </c>
      <c r="B178" s="66">
        <f>IF(A178="","",'Produtos'!B178)</f>
        <v/>
      </c>
      <c r="C178" s="66">
        <f>IF(A178="","",'Produtos'!C178)</f>
        <v/>
      </c>
      <c r="D178" s="67">
        <f>IF(A178="","",'Produtos'!F178)</f>
        <v/>
      </c>
      <c r="E178" s="67">
        <f>IF(A178="","",SUMIFS('Movimentações'!$F$5:$F$1004,'Movimentações'!$C$5:$C$1004,A178,'Movimentações'!$E$5:$E$1004,"Entrada"))</f>
        <v/>
      </c>
      <c r="F178" s="67">
        <f>IF(A178="","",SUMIFS('Movimentações'!$F$5:$F$1004,'Movimentações'!$C$5:$C$1004,A178,'Movimentações'!$E$5:$E$1004,"Saída"))</f>
        <v/>
      </c>
      <c r="G178" s="67">
        <f>IF(A178="","",D178+E178-F178)</f>
        <v/>
      </c>
      <c r="H178" s="67">
        <f>IF(A178="","",'Produtos'!G178)</f>
        <v/>
      </c>
      <c r="I178" s="67">
        <f>IF(A178="","",'Produtos'!H178)</f>
        <v/>
      </c>
      <c r="J178" s="70">
        <f>IF(A178="","",'Produtos'!E178)</f>
        <v/>
      </c>
      <c r="K178" s="70">
        <f>IF(A178="","",G178*J178)</f>
        <v/>
      </c>
      <c r="L178" s="69">
        <f>IF(A178="","",IF(G178&lt;=0,"CRÍTICO",IF(G178&lt;=H178,"REPOR","OK")))</f>
        <v/>
      </c>
      <c r="M178" s="67">
        <f>IF(A178="","",IF(L178="OK",0,MAX(0,I178-G178)))</f>
        <v/>
      </c>
      <c r="N178" s="71">
        <f>IF(A178="","",IF(H178&gt;0,G178/H178,99))</f>
        <v/>
      </c>
      <c r="O178" s="68">
        <f>IF(A178="","",IF(L178="OK","",N178+ROW()/100000))</f>
        <v/>
      </c>
    </row>
    <row r="179">
      <c r="A179" s="69">
        <f>IF('Produtos'!A179="","",'Produtos'!A179)</f>
        <v/>
      </c>
      <c r="B179" s="66">
        <f>IF(A179="","",'Produtos'!B179)</f>
        <v/>
      </c>
      <c r="C179" s="66">
        <f>IF(A179="","",'Produtos'!C179)</f>
        <v/>
      </c>
      <c r="D179" s="67">
        <f>IF(A179="","",'Produtos'!F179)</f>
        <v/>
      </c>
      <c r="E179" s="67">
        <f>IF(A179="","",SUMIFS('Movimentações'!$F$5:$F$1004,'Movimentações'!$C$5:$C$1004,A179,'Movimentações'!$E$5:$E$1004,"Entrada"))</f>
        <v/>
      </c>
      <c r="F179" s="67">
        <f>IF(A179="","",SUMIFS('Movimentações'!$F$5:$F$1004,'Movimentações'!$C$5:$C$1004,A179,'Movimentações'!$E$5:$E$1004,"Saída"))</f>
        <v/>
      </c>
      <c r="G179" s="67">
        <f>IF(A179="","",D179+E179-F179)</f>
        <v/>
      </c>
      <c r="H179" s="67">
        <f>IF(A179="","",'Produtos'!G179)</f>
        <v/>
      </c>
      <c r="I179" s="67">
        <f>IF(A179="","",'Produtos'!H179)</f>
        <v/>
      </c>
      <c r="J179" s="70">
        <f>IF(A179="","",'Produtos'!E179)</f>
        <v/>
      </c>
      <c r="K179" s="70">
        <f>IF(A179="","",G179*J179)</f>
        <v/>
      </c>
      <c r="L179" s="69">
        <f>IF(A179="","",IF(G179&lt;=0,"CRÍTICO",IF(G179&lt;=H179,"REPOR","OK")))</f>
        <v/>
      </c>
      <c r="M179" s="67">
        <f>IF(A179="","",IF(L179="OK",0,MAX(0,I179-G179)))</f>
        <v/>
      </c>
      <c r="N179" s="71">
        <f>IF(A179="","",IF(H179&gt;0,G179/H179,99))</f>
        <v/>
      </c>
      <c r="O179" s="68">
        <f>IF(A179="","",IF(L179="OK","",N179+ROW()/100000))</f>
        <v/>
      </c>
    </row>
    <row r="180">
      <c r="A180" s="69">
        <f>IF('Produtos'!A180="","",'Produtos'!A180)</f>
        <v/>
      </c>
      <c r="B180" s="66">
        <f>IF(A180="","",'Produtos'!B180)</f>
        <v/>
      </c>
      <c r="C180" s="66">
        <f>IF(A180="","",'Produtos'!C180)</f>
        <v/>
      </c>
      <c r="D180" s="67">
        <f>IF(A180="","",'Produtos'!F180)</f>
        <v/>
      </c>
      <c r="E180" s="67">
        <f>IF(A180="","",SUMIFS('Movimentações'!$F$5:$F$1004,'Movimentações'!$C$5:$C$1004,A180,'Movimentações'!$E$5:$E$1004,"Entrada"))</f>
        <v/>
      </c>
      <c r="F180" s="67">
        <f>IF(A180="","",SUMIFS('Movimentações'!$F$5:$F$1004,'Movimentações'!$C$5:$C$1004,A180,'Movimentações'!$E$5:$E$1004,"Saída"))</f>
        <v/>
      </c>
      <c r="G180" s="67">
        <f>IF(A180="","",D180+E180-F180)</f>
        <v/>
      </c>
      <c r="H180" s="67">
        <f>IF(A180="","",'Produtos'!G180)</f>
        <v/>
      </c>
      <c r="I180" s="67">
        <f>IF(A180="","",'Produtos'!H180)</f>
        <v/>
      </c>
      <c r="J180" s="70">
        <f>IF(A180="","",'Produtos'!E180)</f>
        <v/>
      </c>
      <c r="K180" s="70">
        <f>IF(A180="","",G180*J180)</f>
        <v/>
      </c>
      <c r="L180" s="69">
        <f>IF(A180="","",IF(G180&lt;=0,"CRÍTICO",IF(G180&lt;=H180,"REPOR","OK")))</f>
        <v/>
      </c>
      <c r="M180" s="67">
        <f>IF(A180="","",IF(L180="OK",0,MAX(0,I180-G180)))</f>
        <v/>
      </c>
      <c r="N180" s="71">
        <f>IF(A180="","",IF(H180&gt;0,G180/H180,99))</f>
        <v/>
      </c>
      <c r="O180" s="68">
        <f>IF(A180="","",IF(L180="OK","",N180+ROW()/100000))</f>
        <v/>
      </c>
    </row>
    <row r="181">
      <c r="A181" s="69">
        <f>IF('Produtos'!A181="","",'Produtos'!A181)</f>
        <v/>
      </c>
      <c r="B181" s="66">
        <f>IF(A181="","",'Produtos'!B181)</f>
        <v/>
      </c>
      <c r="C181" s="66">
        <f>IF(A181="","",'Produtos'!C181)</f>
        <v/>
      </c>
      <c r="D181" s="67">
        <f>IF(A181="","",'Produtos'!F181)</f>
        <v/>
      </c>
      <c r="E181" s="67">
        <f>IF(A181="","",SUMIFS('Movimentações'!$F$5:$F$1004,'Movimentações'!$C$5:$C$1004,A181,'Movimentações'!$E$5:$E$1004,"Entrada"))</f>
        <v/>
      </c>
      <c r="F181" s="67">
        <f>IF(A181="","",SUMIFS('Movimentações'!$F$5:$F$1004,'Movimentações'!$C$5:$C$1004,A181,'Movimentações'!$E$5:$E$1004,"Saída"))</f>
        <v/>
      </c>
      <c r="G181" s="67">
        <f>IF(A181="","",D181+E181-F181)</f>
        <v/>
      </c>
      <c r="H181" s="67">
        <f>IF(A181="","",'Produtos'!G181)</f>
        <v/>
      </c>
      <c r="I181" s="67">
        <f>IF(A181="","",'Produtos'!H181)</f>
        <v/>
      </c>
      <c r="J181" s="70">
        <f>IF(A181="","",'Produtos'!E181)</f>
        <v/>
      </c>
      <c r="K181" s="70">
        <f>IF(A181="","",G181*J181)</f>
        <v/>
      </c>
      <c r="L181" s="69">
        <f>IF(A181="","",IF(G181&lt;=0,"CRÍTICO",IF(G181&lt;=H181,"REPOR","OK")))</f>
        <v/>
      </c>
      <c r="M181" s="67">
        <f>IF(A181="","",IF(L181="OK",0,MAX(0,I181-G181)))</f>
        <v/>
      </c>
      <c r="N181" s="71">
        <f>IF(A181="","",IF(H181&gt;0,G181/H181,99))</f>
        <v/>
      </c>
      <c r="O181" s="68">
        <f>IF(A181="","",IF(L181="OK","",N181+ROW()/100000))</f>
        <v/>
      </c>
    </row>
    <row r="182">
      <c r="A182" s="69">
        <f>IF('Produtos'!A182="","",'Produtos'!A182)</f>
        <v/>
      </c>
      <c r="B182" s="66">
        <f>IF(A182="","",'Produtos'!B182)</f>
        <v/>
      </c>
      <c r="C182" s="66">
        <f>IF(A182="","",'Produtos'!C182)</f>
        <v/>
      </c>
      <c r="D182" s="67">
        <f>IF(A182="","",'Produtos'!F182)</f>
        <v/>
      </c>
      <c r="E182" s="67">
        <f>IF(A182="","",SUMIFS('Movimentações'!$F$5:$F$1004,'Movimentações'!$C$5:$C$1004,A182,'Movimentações'!$E$5:$E$1004,"Entrada"))</f>
        <v/>
      </c>
      <c r="F182" s="67">
        <f>IF(A182="","",SUMIFS('Movimentações'!$F$5:$F$1004,'Movimentações'!$C$5:$C$1004,A182,'Movimentações'!$E$5:$E$1004,"Saída"))</f>
        <v/>
      </c>
      <c r="G182" s="67">
        <f>IF(A182="","",D182+E182-F182)</f>
        <v/>
      </c>
      <c r="H182" s="67">
        <f>IF(A182="","",'Produtos'!G182)</f>
        <v/>
      </c>
      <c r="I182" s="67">
        <f>IF(A182="","",'Produtos'!H182)</f>
        <v/>
      </c>
      <c r="J182" s="70">
        <f>IF(A182="","",'Produtos'!E182)</f>
        <v/>
      </c>
      <c r="K182" s="70">
        <f>IF(A182="","",G182*J182)</f>
        <v/>
      </c>
      <c r="L182" s="69">
        <f>IF(A182="","",IF(G182&lt;=0,"CRÍTICO",IF(G182&lt;=H182,"REPOR","OK")))</f>
        <v/>
      </c>
      <c r="M182" s="67">
        <f>IF(A182="","",IF(L182="OK",0,MAX(0,I182-G182)))</f>
        <v/>
      </c>
      <c r="N182" s="71">
        <f>IF(A182="","",IF(H182&gt;0,G182/H182,99))</f>
        <v/>
      </c>
      <c r="O182" s="68">
        <f>IF(A182="","",IF(L182="OK","",N182+ROW()/100000))</f>
        <v/>
      </c>
    </row>
    <row r="183">
      <c r="A183" s="69">
        <f>IF('Produtos'!A183="","",'Produtos'!A183)</f>
        <v/>
      </c>
      <c r="B183" s="66">
        <f>IF(A183="","",'Produtos'!B183)</f>
        <v/>
      </c>
      <c r="C183" s="66">
        <f>IF(A183="","",'Produtos'!C183)</f>
        <v/>
      </c>
      <c r="D183" s="67">
        <f>IF(A183="","",'Produtos'!F183)</f>
        <v/>
      </c>
      <c r="E183" s="67">
        <f>IF(A183="","",SUMIFS('Movimentações'!$F$5:$F$1004,'Movimentações'!$C$5:$C$1004,A183,'Movimentações'!$E$5:$E$1004,"Entrada"))</f>
        <v/>
      </c>
      <c r="F183" s="67">
        <f>IF(A183="","",SUMIFS('Movimentações'!$F$5:$F$1004,'Movimentações'!$C$5:$C$1004,A183,'Movimentações'!$E$5:$E$1004,"Saída"))</f>
        <v/>
      </c>
      <c r="G183" s="67">
        <f>IF(A183="","",D183+E183-F183)</f>
        <v/>
      </c>
      <c r="H183" s="67">
        <f>IF(A183="","",'Produtos'!G183)</f>
        <v/>
      </c>
      <c r="I183" s="67">
        <f>IF(A183="","",'Produtos'!H183)</f>
        <v/>
      </c>
      <c r="J183" s="70">
        <f>IF(A183="","",'Produtos'!E183)</f>
        <v/>
      </c>
      <c r="K183" s="70">
        <f>IF(A183="","",G183*J183)</f>
        <v/>
      </c>
      <c r="L183" s="69">
        <f>IF(A183="","",IF(G183&lt;=0,"CRÍTICO",IF(G183&lt;=H183,"REPOR","OK")))</f>
        <v/>
      </c>
      <c r="M183" s="67">
        <f>IF(A183="","",IF(L183="OK",0,MAX(0,I183-G183)))</f>
        <v/>
      </c>
      <c r="N183" s="71">
        <f>IF(A183="","",IF(H183&gt;0,G183/H183,99))</f>
        <v/>
      </c>
      <c r="O183" s="68">
        <f>IF(A183="","",IF(L183="OK","",N183+ROW()/100000))</f>
        <v/>
      </c>
    </row>
    <row r="184">
      <c r="A184" s="69">
        <f>IF('Produtos'!A184="","",'Produtos'!A184)</f>
        <v/>
      </c>
      <c r="B184" s="66">
        <f>IF(A184="","",'Produtos'!B184)</f>
        <v/>
      </c>
      <c r="C184" s="66">
        <f>IF(A184="","",'Produtos'!C184)</f>
        <v/>
      </c>
      <c r="D184" s="67">
        <f>IF(A184="","",'Produtos'!F184)</f>
        <v/>
      </c>
      <c r="E184" s="67">
        <f>IF(A184="","",SUMIFS('Movimentações'!$F$5:$F$1004,'Movimentações'!$C$5:$C$1004,A184,'Movimentações'!$E$5:$E$1004,"Entrada"))</f>
        <v/>
      </c>
      <c r="F184" s="67">
        <f>IF(A184="","",SUMIFS('Movimentações'!$F$5:$F$1004,'Movimentações'!$C$5:$C$1004,A184,'Movimentações'!$E$5:$E$1004,"Saída"))</f>
        <v/>
      </c>
      <c r="G184" s="67">
        <f>IF(A184="","",D184+E184-F184)</f>
        <v/>
      </c>
      <c r="H184" s="67">
        <f>IF(A184="","",'Produtos'!G184)</f>
        <v/>
      </c>
      <c r="I184" s="67">
        <f>IF(A184="","",'Produtos'!H184)</f>
        <v/>
      </c>
      <c r="J184" s="70">
        <f>IF(A184="","",'Produtos'!E184)</f>
        <v/>
      </c>
      <c r="K184" s="70">
        <f>IF(A184="","",G184*J184)</f>
        <v/>
      </c>
      <c r="L184" s="69">
        <f>IF(A184="","",IF(G184&lt;=0,"CRÍTICO",IF(G184&lt;=H184,"REPOR","OK")))</f>
        <v/>
      </c>
      <c r="M184" s="67">
        <f>IF(A184="","",IF(L184="OK",0,MAX(0,I184-G184)))</f>
        <v/>
      </c>
      <c r="N184" s="71">
        <f>IF(A184="","",IF(H184&gt;0,G184/H184,99))</f>
        <v/>
      </c>
      <c r="O184" s="68">
        <f>IF(A184="","",IF(L184="OK","",N184+ROW()/100000))</f>
        <v/>
      </c>
    </row>
    <row r="185">
      <c r="A185" s="69">
        <f>IF('Produtos'!A185="","",'Produtos'!A185)</f>
        <v/>
      </c>
      <c r="B185" s="66">
        <f>IF(A185="","",'Produtos'!B185)</f>
        <v/>
      </c>
      <c r="C185" s="66">
        <f>IF(A185="","",'Produtos'!C185)</f>
        <v/>
      </c>
      <c r="D185" s="67">
        <f>IF(A185="","",'Produtos'!F185)</f>
        <v/>
      </c>
      <c r="E185" s="67">
        <f>IF(A185="","",SUMIFS('Movimentações'!$F$5:$F$1004,'Movimentações'!$C$5:$C$1004,A185,'Movimentações'!$E$5:$E$1004,"Entrada"))</f>
        <v/>
      </c>
      <c r="F185" s="67">
        <f>IF(A185="","",SUMIFS('Movimentações'!$F$5:$F$1004,'Movimentações'!$C$5:$C$1004,A185,'Movimentações'!$E$5:$E$1004,"Saída"))</f>
        <v/>
      </c>
      <c r="G185" s="67">
        <f>IF(A185="","",D185+E185-F185)</f>
        <v/>
      </c>
      <c r="H185" s="67">
        <f>IF(A185="","",'Produtos'!G185)</f>
        <v/>
      </c>
      <c r="I185" s="67">
        <f>IF(A185="","",'Produtos'!H185)</f>
        <v/>
      </c>
      <c r="J185" s="70">
        <f>IF(A185="","",'Produtos'!E185)</f>
        <v/>
      </c>
      <c r="K185" s="70">
        <f>IF(A185="","",G185*J185)</f>
        <v/>
      </c>
      <c r="L185" s="69">
        <f>IF(A185="","",IF(G185&lt;=0,"CRÍTICO",IF(G185&lt;=H185,"REPOR","OK")))</f>
        <v/>
      </c>
      <c r="M185" s="67">
        <f>IF(A185="","",IF(L185="OK",0,MAX(0,I185-G185)))</f>
        <v/>
      </c>
      <c r="N185" s="71">
        <f>IF(A185="","",IF(H185&gt;0,G185/H185,99))</f>
        <v/>
      </c>
      <c r="O185" s="68">
        <f>IF(A185="","",IF(L185="OK","",N185+ROW()/100000))</f>
        <v/>
      </c>
    </row>
    <row r="186">
      <c r="A186" s="69">
        <f>IF('Produtos'!A186="","",'Produtos'!A186)</f>
        <v/>
      </c>
      <c r="B186" s="66">
        <f>IF(A186="","",'Produtos'!B186)</f>
        <v/>
      </c>
      <c r="C186" s="66">
        <f>IF(A186="","",'Produtos'!C186)</f>
        <v/>
      </c>
      <c r="D186" s="67">
        <f>IF(A186="","",'Produtos'!F186)</f>
        <v/>
      </c>
      <c r="E186" s="67">
        <f>IF(A186="","",SUMIFS('Movimentações'!$F$5:$F$1004,'Movimentações'!$C$5:$C$1004,A186,'Movimentações'!$E$5:$E$1004,"Entrada"))</f>
        <v/>
      </c>
      <c r="F186" s="67">
        <f>IF(A186="","",SUMIFS('Movimentações'!$F$5:$F$1004,'Movimentações'!$C$5:$C$1004,A186,'Movimentações'!$E$5:$E$1004,"Saída"))</f>
        <v/>
      </c>
      <c r="G186" s="67">
        <f>IF(A186="","",D186+E186-F186)</f>
        <v/>
      </c>
      <c r="H186" s="67">
        <f>IF(A186="","",'Produtos'!G186)</f>
        <v/>
      </c>
      <c r="I186" s="67">
        <f>IF(A186="","",'Produtos'!H186)</f>
        <v/>
      </c>
      <c r="J186" s="70">
        <f>IF(A186="","",'Produtos'!E186)</f>
        <v/>
      </c>
      <c r="K186" s="70">
        <f>IF(A186="","",G186*J186)</f>
        <v/>
      </c>
      <c r="L186" s="69">
        <f>IF(A186="","",IF(G186&lt;=0,"CRÍTICO",IF(G186&lt;=H186,"REPOR","OK")))</f>
        <v/>
      </c>
      <c r="M186" s="67">
        <f>IF(A186="","",IF(L186="OK",0,MAX(0,I186-G186)))</f>
        <v/>
      </c>
      <c r="N186" s="71">
        <f>IF(A186="","",IF(H186&gt;0,G186/H186,99))</f>
        <v/>
      </c>
      <c r="O186" s="68">
        <f>IF(A186="","",IF(L186="OK","",N186+ROW()/100000))</f>
        <v/>
      </c>
    </row>
    <row r="187">
      <c r="A187" s="69">
        <f>IF('Produtos'!A187="","",'Produtos'!A187)</f>
        <v/>
      </c>
      <c r="B187" s="66">
        <f>IF(A187="","",'Produtos'!B187)</f>
        <v/>
      </c>
      <c r="C187" s="66">
        <f>IF(A187="","",'Produtos'!C187)</f>
        <v/>
      </c>
      <c r="D187" s="67">
        <f>IF(A187="","",'Produtos'!F187)</f>
        <v/>
      </c>
      <c r="E187" s="67">
        <f>IF(A187="","",SUMIFS('Movimentações'!$F$5:$F$1004,'Movimentações'!$C$5:$C$1004,A187,'Movimentações'!$E$5:$E$1004,"Entrada"))</f>
        <v/>
      </c>
      <c r="F187" s="67">
        <f>IF(A187="","",SUMIFS('Movimentações'!$F$5:$F$1004,'Movimentações'!$C$5:$C$1004,A187,'Movimentações'!$E$5:$E$1004,"Saída"))</f>
        <v/>
      </c>
      <c r="G187" s="67">
        <f>IF(A187="","",D187+E187-F187)</f>
        <v/>
      </c>
      <c r="H187" s="67">
        <f>IF(A187="","",'Produtos'!G187)</f>
        <v/>
      </c>
      <c r="I187" s="67">
        <f>IF(A187="","",'Produtos'!H187)</f>
        <v/>
      </c>
      <c r="J187" s="70">
        <f>IF(A187="","",'Produtos'!E187)</f>
        <v/>
      </c>
      <c r="K187" s="70">
        <f>IF(A187="","",G187*J187)</f>
        <v/>
      </c>
      <c r="L187" s="69">
        <f>IF(A187="","",IF(G187&lt;=0,"CRÍTICO",IF(G187&lt;=H187,"REPOR","OK")))</f>
        <v/>
      </c>
      <c r="M187" s="67">
        <f>IF(A187="","",IF(L187="OK",0,MAX(0,I187-G187)))</f>
        <v/>
      </c>
      <c r="N187" s="71">
        <f>IF(A187="","",IF(H187&gt;0,G187/H187,99))</f>
        <v/>
      </c>
      <c r="O187" s="68">
        <f>IF(A187="","",IF(L187="OK","",N187+ROW()/100000))</f>
        <v/>
      </c>
    </row>
    <row r="188">
      <c r="A188" s="69">
        <f>IF('Produtos'!A188="","",'Produtos'!A188)</f>
        <v/>
      </c>
      <c r="B188" s="66">
        <f>IF(A188="","",'Produtos'!B188)</f>
        <v/>
      </c>
      <c r="C188" s="66">
        <f>IF(A188="","",'Produtos'!C188)</f>
        <v/>
      </c>
      <c r="D188" s="67">
        <f>IF(A188="","",'Produtos'!F188)</f>
        <v/>
      </c>
      <c r="E188" s="67">
        <f>IF(A188="","",SUMIFS('Movimentações'!$F$5:$F$1004,'Movimentações'!$C$5:$C$1004,A188,'Movimentações'!$E$5:$E$1004,"Entrada"))</f>
        <v/>
      </c>
      <c r="F188" s="67">
        <f>IF(A188="","",SUMIFS('Movimentações'!$F$5:$F$1004,'Movimentações'!$C$5:$C$1004,A188,'Movimentações'!$E$5:$E$1004,"Saída"))</f>
        <v/>
      </c>
      <c r="G188" s="67">
        <f>IF(A188="","",D188+E188-F188)</f>
        <v/>
      </c>
      <c r="H188" s="67">
        <f>IF(A188="","",'Produtos'!G188)</f>
        <v/>
      </c>
      <c r="I188" s="67">
        <f>IF(A188="","",'Produtos'!H188)</f>
        <v/>
      </c>
      <c r="J188" s="70">
        <f>IF(A188="","",'Produtos'!E188)</f>
        <v/>
      </c>
      <c r="K188" s="70">
        <f>IF(A188="","",G188*J188)</f>
        <v/>
      </c>
      <c r="L188" s="69">
        <f>IF(A188="","",IF(G188&lt;=0,"CRÍTICO",IF(G188&lt;=H188,"REPOR","OK")))</f>
        <v/>
      </c>
      <c r="M188" s="67">
        <f>IF(A188="","",IF(L188="OK",0,MAX(0,I188-G188)))</f>
        <v/>
      </c>
      <c r="N188" s="71">
        <f>IF(A188="","",IF(H188&gt;0,G188/H188,99))</f>
        <v/>
      </c>
      <c r="O188" s="68">
        <f>IF(A188="","",IF(L188="OK","",N188+ROW()/100000))</f>
        <v/>
      </c>
    </row>
    <row r="189">
      <c r="A189" s="69">
        <f>IF('Produtos'!A189="","",'Produtos'!A189)</f>
        <v/>
      </c>
      <c r="B189" s="66">
        <f>IF(A189="","",'Produtos'!B189)</f>
        <v/>
      </c>
      <c r="C189" s="66">
        <f>IF(A189="","",'Produtos'!C189)</f>
        <v/>
      </c>
      <c r="D189" s="67">
        <f>IF(A189="","",'Produtos'!F189)</f>
        <v/>
      </c>
      <c r="E189" s="67">
        <f>IF(A189="","",SUMIFS('Movimentações'!$F$5:$F$1004,'Movimentações'!$C$5:$C$1004,A189,'Movimentações'!$E$5:$E$1004,"Entrada"))</f>
        <v/>
      </c>
      <c r="F189" s="67">
        <f>IF(A189="","",SUMIFS('Movimentações'!$F$5:$F$1004,'Movimentações'!$C$5:$C$1004,A189,'Movimentações'!$E$5:$E$1004,"Saída"))</f>
        <v/>
      </c>
      <c r="G189" s="67">
        <f>IF(A189="","",D189+E189-F189)</f>
        <v/>
      </c>
      <c r="H189" s="67">
        <f>IF(A189="","",'Produtos'!G189)</f>
        <v/>
      </c>
      <c r="I189" s="67">
        <f>IF(A189="","",'Produtos'!H189)</f>
        <v/>
      </c>
      <c r="J189" s="70">
        <f>IF(A189="","",'Produtos'!E189)</f>
        <v/>
      </c>
      <c r="K189" s="70">
        <f>IF(A189="","",G189*J189)</f>
        <v/>
      </c>
      <c r="L189" s="69">
        <f>IF(A189="","",IF(G189&lt;=0,"CRÍTICO",IF(G189&lt;=H189,"REPOR","OK")))</f>
        <v/>
      </c>
      <c r="M189" s="67">
        <f>IF(A189="","",IF(L189="OK",0,MAX(0,I189-G189)))</f>
        <v/>
      </c>
      <c r="N189" s="71">
        <f>IF(A189="","",IF(H189&gt;0,G189/H189,99))</f>
        <v/>
      </c>
      <c r="O189" s="68">
        <f>IF(A189="","",IF(L189="OK","",N189+ROW()/100000))</f>
        <v/>
      </c>
    </row>
    <row r="190">
      <c r="A190" s="69">
        <f>IF('Produtos'!A190="","",'Produtos'!A190)</f>
        <v/>
      </c>
      <c r="B190" s="66">
        <f>IF(A190="","",'Produtos'!B190)</f>
        <v/>
      </c>
      <c r="C190" s="66">
        <f>IF(A190="","",'Produtos'!C190)</f>
        <v/>
      </c>
      <c r="D190" s="67">
        <f>IF(A190="","",'Produtos'!F190)</f>
        <v/>
      </c>
      <c r="E190" s="67">
        <f>IF(A190="","",SUMIFS('Movimentações'!$F$5:$F$1004,'Movimentações'!$C$5:$C$1004,A190,'Movimentações'!$E$5:$E$1004,"Entrada"))</f>
        <v/>
      </c>
      <c r="F190" s="67">
        <f>IF(A190="","",SUMIFS('Movimentações'!$F$5:$F$1004,'Movimentações'!$C$5:$C$1004,A190,'Movimentações'!$E$5:$E$1004,"Saída"))</f>
        <v/>
      </c>
      <c r="G190" s="67">
        <f>IF(A190="","",D190+E190-F190)</f>
        <v/>
      </c>
      <c r="H190" s="67">
        <f>IF(A190="","",'Produtos'!G190)</f>
        <v/>
      </c>
      <c r="I190" s="67">
        <f>IF(A190="","",'Produtos'!H190)</f>
        <v/>
      </c>
      <c r="J190" s="70">
        <f>IF(A190="","",'Produtos'!E190)</f>
        <v/>
      </c>
      <c r="K190" s="70">
        <f>IF(A190="","",G190*J190)</f>
        <v/>
      </c>
      <c r="L190" s="69">
        <f>IF(A190="","",IF(G190&lt;=0,"CRÍTICO",IF(G190&lt;=H190,"REPOR","OK")))</f>
        <v/>
      </c>
      <c r="M190" s="67">
        <f>IF(A190="","",IF(L190="OK",0,MAX(0,I190-G190)))</f>
        <v/>
      </c>
      <c r="N190" s="71">
        <f>IF(A190="","",IF(H190&gt;0,G190/H190,99))</f>
        <v/>
      </c>
      <c r="O190" s="68">
        <f>IF(A190="","",IF(L190="OK","",N190+ROW()/100000))</f>
        <v/>
      </c>
    </row>
    <row r="191">
      <c r="A191" s="69">
        <f>IF('Produtos'!A191="","",'Produtos'!A191)</f>
        <v/>
      </c>
      <c r="B191" s="66">
        <f>IF(A191="","",'Produtos'!B191)</f>
        <v/>
      </c>
      <c r="C191" s="66">
        <f>IF(A191="","",'Produtos'!C191)</f>
        <v/>
      </c>
      <c r="D191" s="67">
        <f>IF(A191="","",'Produtos'!F191)</f>
        <v/>
      </c>
      <c r="E191" s="67">
        <f>IF(A191="","",SUMIFS('Movimentações'!$F$5:$F$1004,'Movimentações'!$C$5:$C$1004,A191,'Movimentações'!$E$5:$E$1004,"Entrada"))</f>
        <v/>
      </c>
      <c r="F191" s="67">
        <f>IF(A191="","",SUMIFS('Movimentações'!$F$5:$F$1004,'Movimentações'!$C$5:$C$1004,A191,'Movimentações'!$E$5:$E$1004,"Saída"))</f>
        <v/>
      </c>
      <c r="G191" s="67">
        <f>IF(A191="","",D191+E191-F191)</f>
        <v/>
      </c>
      <c r="H191" s="67">
        <f>IF(A191="","",'Produtos'!G191)</f>
        <v/>
      </c>
      <c r="I191" s="67">
        <f>IF(A191="","",'Produtos'!H191)</f>
        <v/>
      </c>
      <c r="J191" s="70">
        <f>IF(A191="","",'Produtos'!E191)</f>
        <v/>
      </c>
      <c r="K191" s="70">
        <f>IF(A191="","",G191*J191)</f>
        <v/>
      </c>
      <c r="L191" s="69">
        <f>IF(A191="","",IF(G191&lt;=0,"CRÍTICO",IF(G191&lt;=H191,"REPOR","OK")))</f>
        <v/>
      </c>
      <c r="M191" s="67">
        <f>IF(A191="","",IF(L191="OK",0,MAX(0,I191-G191)))</f>
        <v/>
      </c>
      <c r="N191" s="71">
        <f>IF(A191="","",IF(H191&gt;0,G191/H191,99))</f>
        <v/>
      </c>
      <c r="O191" s="68">
        <f>IF(A191="","",IF(L191="OK","",N191+ROW()/100000))</f>
        <v/>
      </c>
    </row>
    <row r="192">
      <c r="A192" s="69">
        <f>IF('Produtos'!A192="","",'Produtos'!A192)</f>
        <v/>
      </c>
      <c r="B192" s="66">
        <f>IF(A192="","",'Produtos'!B192)</f>
        <v/>
      </c>
      <c r="C192" s="66">
        <f>IF(A192="","",'Produtos'!C192)</f>
        <v/>
      </c>
      <c r="D192" s="67">
        <f>IF(A192="","",'Produtos'!F192)</f>
        <v/>
      </c>
      <c r="E192" s="67">
        <f>IF(A192="","",SUMIFS('Movimentações'!$F$5:$F$1004,'Movimentações'!$C$5:$C$1004,A192,'Movimentações'!$E$5:$E$1004,"Entrada"))</f>
        <v/>
      </c>
      <c r="F192" s="67">
        <f>IF(A192="","",SUMIFS('Movimentações'!$F$5:$F$1004,'Movimentações'!$C$5:$C$1004,A192,'Movimentações'!$E$5:$E$1004,"Saída"))</f>
        <v/>
      </c>
      <c r="G192" s="67">
        <f>IF(A192="","",D192+E192-F192)</f>
        <v/>
      </c>
      <c r="H192" s="67">
        <f>IF(A192="","",'Produtos'!G192)</f>
        <v/>
      </c>
      <c r="I192" s="67">
        <f>IF(A192="","",'Produtos'!H192)</f>
        <v/>
      </c>
      <c r="J192" s="70">
        <f>IF(A192="","",'Produtos'!E192)</f>
        <v/>
      </c>
      <c r="K192" s="70">
        <f>IF(A192="","",G192*J192)</f>
        <v/>
      </c>
      <c r="L192" s="69">
        <f>IF(A192="","",IF(G192&lt;=0,"CRÍTICO",IF(G192&lt;=H192,"REPOR","OK")))</f>
        <v/>
      </c>
      <c r="M192" s="67">
        <f>IF(A192="","",IF(L192="OK",0,MAX(0,I192-G192)))</f>
        <v/>
      </c>
      <c r="N192" s="71">
        <f>IF(A192="","",IF(H192&gt;0,G192/H192,99))</f>
        <v/>
      </c>
      <c r="O192" s="68">
        <f>IF(A192="","",IF(L192="OK","",N192+ROW()/100000))</f>
        <v/>
      </c>
    </row>
    <row r="193">
      <c r="A193" s="69">
        <f>IF('Produtos'!A193="","",'Produtos'!A193)</f>
        <v/>
      </c>
      <c r="B193" s="66">
        <f>IF(A193="","",'Produtos'!B193)</f>
        <v/>
      </c>
      <c r="C193" s="66">
        <f>IF(A193="","",'Produtos'!C193)</f>
        <v/>
      </c>
      <c r="D193" s="67">
        <f>IF(A193="","",'Produtos'!F193)</f>
        <v/>
      </c>
      <c r="E193" s="67">
        <f>IF(A193="","",SUMIFS('Movimentações'!$F$5:$F$1004,'Movimentações'!$C$5:$C$1004,A193,'Movimentações'!$E$5:$E$1004,"Entrada"))</f>
        <v/>
      </c>
      <c r="F193" s="67">
        <f>IF(A193="","",SUMIFS('Movimentações'!$F$5:$F$1004,'Movimentações'!$C$5:$C$1004,A193,'Movimentações'!$E$5:$E$1004,"Saída"))</f>
        <v/>
      </c>
      <c r="G193" s="67">
        <f>IF(A193="","",D193+E193-F193)</f>
        <v/>
      </c>
      <c r="H193" s="67">
        <f>IF(A193="","",'Produtos'!G193)</f>
        <v/>
      </c>
      <c r="I193" s="67">
        <f>IF(A193="","",'Produtos'!H193)</f>
        <v/>
      </c>
      <c r="J193" s="70">
        <f>IF(A193="","",'Produtos'!E193)</f>
        <v/>
      </c>
      <c r="K193" s="70">
        <f>IF(A193="","",G193*J193)</f>
        <v/>
      </c>
      <c r="L193" s="69">
        <f>IF(A193="","",IF(G193&lt;=0,"CRÍTICO",IF(G193&lt;=H193,"REPOR","OK")))</f>
        <v/>
      </c>
      <c r="M193" s="67">
        <f>IF(A193="","",IF(L193="OK",0,MAX(0,I193-G193)))</f>
        <v/>
      </c>
      <c r="N193" s="71">
        <f>IF(A193="","",IF(H193&gt;0,G193/H193,99))</f>
        <v/>
      </c>
      <c r="O193" s="68">
        <f>IF(A193="","",IF(L193="OK","",N193+ROW()/100000))</f>
        <v/>
      </c>
    </row>
    <row r="194">
      <c r="A194" s="69">
        <f>IF('Produtos'!A194="","",'Produtos'!A194)</f>
        <v/>
      </c>
      <c r="B194" s="66">
        <f>IF(A194="","",'Produtos'!B194)</f>
        <v/>
      </c>
      <c r="C194" s="66">
        <f>IF(A194="","",'Produtos'!C194)</f>
        <v/>
      </c>
      <c r="D194" s="67">
        <f>IF(A194="","",'Produtos'!F194)</f>
        <v/>
      </c>
      <c r="E194" s="67">
        <f>IF(A194="","",SUMIFS('Movimentações'!$F$5:$F$1004,'Movimentações'!$C$5:$C$1004,A194,'Movimentações'!$E$5:$E$1004,"Entrada"))</f>
        <v/>
      </c>
      <c r="F194" s="67">
        <f>IF(A194="","",SUMIFS('Movimentações'!$F$5:$F$1004,'Movimentações'!$C$5:$C$1004,A194,'Movimentações'!$E$5:$E$1004,"Saída"))</f>
        <v/>
      </c>
      <c r="G194" s="67">
        <f>IF(A194="","",D194+E194-F194)</f>
        <v/>
      </c>
      <c r="H194" s="67">
        <f>IF(A194="","",'Produtos'!G194)</f>
        <v/>
      </c>
      <c r="I194" s="67">
        <f>IF(A194="","",'Produtos'!H194)</f>
        <v/>
      </c>
      <c r="J194" s="70">
        <f>IF(A194="","",'Produtos'!E194)</f>
        <v/>
      </c>
      <c r="K194" s="70">
        <f>IF(A194="","",G194*J194)</f>
        <v/>
      </c>
      <c r="L194" s="69">
        <f>IF(A194="","",IF(G194&lt;=0,"CRÍTICO",IF(G194&lt;=H194,"REPOR","OK")))</f>
        <v/>
      </c>
      <c r="M194" s="67">
        <f>IF(A194="","",IF(L194="OK",0,MAX(0,I194-G194)))</f>
        <v/>
      </c>
      <c r="N194" s="71">
        <f>IF(A194="","",IF(H194&gt;0,G194/H194,99))</f>
        <v/>
      </c>
      <c r="O194" s="68">
        <f>IF(A194="","",IF(L194="OK","",N194+ROW()/100000))</f>
        <v/>
      </c>
    </row>
    <row r="195">
      <c r="A195" s="69">
        <f>IF('Produtos'!A195="","",'Produtos'!A195)</f>
        <v/>
      </c>
      <c r="B195" s="66">
        <f>IF(A195="","",'Produtos'!B195)</f>
        <v/>
      </c>
      <c r="C195" s="66">
        <f>IF(A195="","",'Produtos'!C195)</f>
        <v/>
      </c>
      <c r="D195" s="67">
        <f>IF(A195="","",'Produtos'!F195)</f>
        <v/>
      </c>
      <c r="E195" s="67">
        <f>IF(A195="","",SUMIFS('Movimentações'!$F$5:$F$1004,'Movimentações'!$C$5:$C$1004,A195,'Movimentações'!$E$5:$E$1004,"Entrada"))</f>
        <v/>
      </c>
      <c r="F195" s="67">
        <f>IF(A195="","",SUMIFS('Movimentações'!$F$5:$F$1004,'Movimentações'!$C$5:$C$1004,A195,'Movimentações'!$E$5:$E$1004,"Saída"))</f>
        <v/>
      </c>
      <c r="G195" s="67">
        <f>IF(A195="","",D195+E195-F195)</f>
        <v/>
      </c>
      <c r="H195" s="67">
        <f>IF(A195="","",'Produtos'!G195)</f>
        <v/>
      </c>
      <c r="I195" s="67">
        <f>IF(A195="","",'Produtos'!H195)</f>
        <v/>
      </c>
      <c r="J195" s="70">
        <f>IF(A195="","",'Produtos'!E195)</f>
        <v/>
      </c>
      <c r="K195" s="70">
        <f>IF(A195="","",G195*J195)</f>
        <v/>
      </c>
      <c r="L195" s="69">
        <f>IF(A195="","",IF(G195&lt;=0,"CRÍTICO",IF(G195&lt;=H195,"REPOR","OK")))</f>
        <v/>
      </c>
      <c r="M195" s="67">
        <f>IF(A195="","",IF(L195="OK",0,MAX(0,I195-G195)))</f>
        <v/>
      </c>
      <c r="N195" s="71">
        <f>IF(A195="","",IF(H195&gt;0,G195/H195,99))</f>
        <v/>
      </c>
      <c r="O195" s="68">
        <f>IF(A195="","",IF(L195="OK","",N195+ROW()/100000))</f>
        <v/>
      </c>
    </row>
    <row r="196">
      <c r="A196" s="69">
        <f>IF('Produtos'!A196="","",'Produtos'!A196)</f>
        <v/>
      </c>
      <c r="B196" s="66">
        <f>IF(A196="","",'Produtos'!B196)</f>
        <v/>
      </c>
      <c r="C196" s="66">
        <f>IF(A196="","",'Produtos'!C196)</f>
        <v/>
      </c>
      <c r="D196" s="67">
        <f>IF(A196="","",'Produtos'!F196)</f>
        <v/>
      </c>
      <c r="E196" s="67">
        <f>IF(A196="","",SUMIFS('Movimentações'!$F$5:$F$1004,'Movimentações'!$C$5:$C$1004,A196,'Movimentações'!$E$5:$E$1004,"Entrada"))</f>
        <v/>
      </c>
      <c r="F196" s="67">
        <f>IF(A196="","",SUMIFS('Movimentações'!$F$5:$F$1004,'Movimentações'!$C$5:$C$1004,A196,'Movimentações'!$E$5:$E$1004,"Saída"))</f>
        <v/>
      </c>
      <c r="G196" s="67">
        <f>IF(A196="","",D196+E196-F196)</f>
        <v/>
      </c>
      <c r="H196" s="67">
        <f>IF(A196="","",'Produtos'!G196)</f>
        <v/>
      </c>
      <c r="I196" s="67">
        <f>IF(A196="","",'Produtos'!H196)</f>
        <v/>
      </c>
      <c r="J196" s="70">
        <f>IF(A196="","",'Produtos'!E196)</f>
        <v/>
      </c>
      <c r="K196" s="70">
        <f>IF(A196="","",G196*J196)</f>
        <v/>
      </c>
      <c r="L196" s="69">
        <f>IF(A196="","",IF(G196&lt;=0,"CRÍTICO",IF(G196&lt;=H196,"REPOR","OK")))</f>
        <v/>
      </c>
      <c r="M196" s="67">
        <f>IF(A196="","",IF(L196="OK",0,MAX(0,I196-G196)))</f>
        <v/>
      </c>
      <c r="N196" s="71">
        <f>IF(A196="","",IF(H196&gt;0,G196/H196,99))</f>
        <v/>
      </c>
      <c r="O196" s="68">
        <f>IF(A196="","",IF(L196="OK","",N196+ROW()/100000))</f>
        <v/>
      </c>
    </row>
    <row r="197">
      <c r="A197" s="69">
        <f>IF('Produtos'!A197="","",'Produtos'!A197)</f>
        <v/>
      </c>
      <c r="B197" s="66">
        <f>IF(A197="","",'Produtos'!B197)</f>
        <v/>
      </c>
      <c r="C197" s="66">
        <f>IF(A197="","",'Produtos'!C197)</f>
        <v/>
      </c>
      <c r="D197" s="67">
        <f>IF(A197="","",'Produtos'!F197)</f>
        <v/>
      </c>
      <c r="E197" s="67">
        <f>IF(A197="","",SUMIFS('Movimentações'!$F$5:$F$1004,'Movimentações'!$C$5:$C$1004,A197,'Movimentações'!$E$5:$E$1004,"Entrada"))</f>
        <v/>
      </c>
      <c r="F197" s="67">
        <f>IF(A197="","",SUMIFS('Movimentações'!$F$5:$F$1004,'Movimentações'!$C$5:$C$1004,A197,'Movimentações'!$E$5:$E$1004,"Saída"))</f>
        <v/>
      </c>
      <c r="G197" s="67">
        <f>IF(A197="","",D197+E197-F197)</f>
        <v/>
      </c>
      <c r="H197" s="67">
        <f>IF(A197="","",'Produtos'!G197)</f>
        <v/>
      </c>
      <c r="I197" s="67">
        <f>IF(A197="","",'Produtos'!H197)</f>
        <v/>
      </c>
      <c r="J197" s="70">
        <f>IF(A197="","",'Produtos'!E197)</f>
        <v/>
      </c>
      <c r="K197" s="70">
        <f>IF(A197="","",G197*J197)</f>
        <v/>
      </c>
      <c r="L197" s="69">
        <f>IF(A197="","",IF(G197&lt;=0,"CRÍTICO",IF(G197&lt;=H197,"REPOR","OK")))</f>
        <v/>
      </c>
      <c r="M197" s="67">
        <f>IF(A197="","",IF(L197="OK",0,MAX(0,I197-G197)))</f>
        <v/>
      </c>
      <c r="N197" s="71">
        <f>IF(A197="","",IF(H197&gt;0,G197/H197,99))</f>
        <v/>
      </c>
      <c r="O197" s="68">
        <f>IF(A197="","",IF(L197="OK","",N197+ROW()/100000))</f>
        <v/>
      </c>
    </row>
    <row r="198">
      <c r="A198" s="69">
        <f>IF('Produtos'!A198="","",'Produtos'!A198)</f>
        <v/>
      </c>
      <c r="B198" s="66">
        <f>IF(A198="","",'Produtos'!B198)</f>
        <v/>
      </c>
      <c r="C198" s="66">
        <f>IF(A198="","",'Produtos'!C198)</f>
        <v/>
      </c>
      <c r="D198" s="67">
        <f>IF(A198="","",'Produtos'!F198)</f>
        <v/>
      </c>
      <c r="E198" s="67">
        <f>IF(A198="","",SUMIFS('Movimentações'!$F$5:$F$1004,'Movimentações'!$C$5:$C$1004,A198,'Movimentações'!$E$5:$E$1004,"Entrada"))</f>
        <v/>
      </c>
      <c r="F198" s="67">
        <f>IF(A198="","",SUMIFS('Movimentações'!$F$5:$F$1004,'Movimentações'!$C$5:$C$1004,A198,'Movimentações'!$E$5:$E$1004,"Saída"))</f>
        <v/>
      </c>
      <c r="G198" s="67">
        <f>IF(A198="","",D198+E198-F198)</f>
        <v/>
      </c>
      <c r="H198" s="67">
        <f>IF(A198="","",'Produtos'!G198)</f>
        <v/>
      </c>
      <c r="I198" s="67">
        <f>IF(A198="","",'Produtos'!H198)</f>
        <v/>
      </c>
      <c r="J198" s="70">
        <f>IF(A198="","",'Produtos'!E198)</f>
        <v/>
      </c>
      <c r="K198" s="70">
        <f>IF(A198="","",G198*J198)</f>
        <v/>
      </c>
      <c r="L198" s="69">
        <f>IF(A198="","",IF(G198&lt;=0,"CRÍTICO",IF(G198&lt;=H198,"REPOR","OK")))</f>
        <v/>
      </c>
      <c r="M198" s="67">
        <f>IF(A198="","",IF(L198="OK",0,MAX(0,I198-G198)))</f>
        <v/>
      </c>
      <c r="N198" s="71">
        <f>IF(A198="","",IF(H198&gt;0,G198/H198,99))</f>
        <v/>
      </c>
      <c r="O198" s="68">
        <f>IF(A198="","",IF(L198="OK","",N198+ROW()/100000))</f>
        <v/>
      </c>
    </row>
    <row r="199">
      <c r="A199" s="69">
        <f>IF('Produtos'!A199="","",'Produtos'!A199)</f>
        <v/>
      </c>
      <c r="B199" s="66">
        <f>IF(A199="","",'Produtos'!B199)</f>
        <v/>
      </c>
      <c r="C199" s="66">
        <f>IF(A199="","",'Produtos'!C199)</f>
        <v/>
      </c>
      <c r="D199" s="67">
        <f>IF(A199="","",'Produtos'!F199)</f>
        <v/>
      </c>
      <c r="E199" s="67">
        <f>IF(A199="","",SUMIFS('Movimentações'!$F$5:$F$1004,'Movimentações'!$C$5:$C$1004,A199,'Movimentações'!$E$5:$E$1004,"Entrada"))</f>
        <v/>
      </c>
      <c r="F199" s="67">
        <f>IF(A199="","",SUMIFS('Movimentações'!$F$5:$F$1004,'Movimentações'!$C$5:$C$1004,A199,'Movimentações'!$E$5:$E$1004,"Saída"))</f>
        <v/>
      </c>
      <c r="G199" s="67">
        <f>IF(A199="","",D199+E199-F199)</f>
        <v/>
      </c>
      <c r="H199" s="67">
        <f>IF(A199="","",'Produtos'!G199)</f>
        <v/>
      </c>
      <c r="I199" s="67">
        <f>IF(A199="","",'Produtos'!H199)</f>
        <v/>
      </c>
      <c r="J199" s="70">
        <f>IF(A199="","",'Produtos'!E199)</f>
        <v/>
      </c>
      <c r="K199" s="70">
        <f>IF(A199="","",G199*J199)</f>
        <v/>
      </c>
      <c r="L199" s="69">
        <f>IF(A199="","",IF(G199&lt;=0,"CRÍTICO",IF(G199&lt;=H199,"REPOR","OK")))</f>
        <v/>
      </c>
      <c r="M199" s="67">
        <f>IF(A199="","",IF(L199="OK",0,MAX(0,I199-G199)))</f>
        <v/>
      </c>
      <c r="N199" s="71">
        <f>IF(A199="","",IF(H199&gt;0,G199/H199,99))</f>
        <v/>
      </c>
      <c r="O199" s="68">
        <f>IF(A199="","",IF(L199="OK","",N199+ROW()/100000))</f>
        <v/>
      </c>
    </row>
    <row r="200">
      <c r="A200" s="69">
        <f>IF('Produtos'!A200="","",'Produtos'!A200)</f>
        <v/>
      </c>
      <c r="B200" s="66">
        <f>IF(A200="","",'Produtos'!B200)</f>
        <v/>
      </c>
      <c r="C200" s="66">
        <f>IF(A200="","",'Produtos'!C200)</f>
        <v/>
      </c>
      <c r="D200" s="67">
        <f>IF(A200="","",'Produtos'!F200)</f>
        <v/>
      </c>
      <c r="E200" s="67">
        <f>IF(A200="","",SUMIFS('Movimentações'!$F$5:$F$1004,'Movimentações'!$C$5:$C$1004,A200,'Movimentações'!$E$5:$E$1004,"Entrada"))</f>
        <v/>
      </c>
      <c r="F200" s="67">
        <f>IF(A200="","",SUMIFS('Movimentações'!$F$5:$F$1004,'Movimentações'!$C$5:$C$1004,A200,'Movimentações'!$E$5:$E$1004,"Saída"))</f>
        <v/>
      </c>
      <c r="G200" s="67">
        <f>IF(A200="","",D200+E200-F200)</f>
        <v/>
      </c>
      <c r="H200" s="67">
        <f>IF(A200="","",'Produtos'!G200)</f>
        <v/>
      </c>
      <c r="I200" s="67">
        <f>IF(A200="","",'Produtos'!H200)</f>
        <v/>
      </c>
      <c r="J200" s="70">
        <f>IF(A200="","",'Produtos'!E200)</f>
        <v/>
      </c>
      <c r="K200" s="70">
        <f>IF(A200="","",G200*J200)</f>
        <v/>
      </c>
      <c r="L200" s="69">
        <f>IF(A200="","",IF(G200&lt;=0,"CRÍTICO",IF(G200&lt;=H200,"REPOR","OK")))</f>
        <v/>
      </c>
      <c r="M200" s="67">
        <f>IF(A200="","",IF(L200="OK",0,MAX(0,I200-G200)))</f>
        <v/>
      </c>
      <c r="N200" s="71">
        <f>IF(A200="","",IF(H200&gt;0,G200/H200,99))</f>
        <v/>
      </c>
      <c r="O200" s="68">
        <f>IF(A200="","",IF(L200="OK","",N200+ROW()/100000))</f>
        <v/>
      </c>
    </row>
    <row r="201">
      <c r="A201" s="69">
        <f>IF('Produtos'!A201="","",'Produtos'!A201)</f>
        <v/>
      </c>
      <c r="B201" s="66">
        <f>IF(A201="","",'Produtos'!B201)</f>
        <v/>
      </c>
      <c r="C201" s="66">
        <f>IF(A201="","",'Produtos'!C201)</f>
        <v/>
      </c>
      <c r="D201" s="67">
        <f>IF(A201="","",'Produtos'!F201)</f>
        <v/>
      </c>
      <c r="E201" s="67">
        <f>IF(A201="","",SUMIFS('Movimentações'!$F$5:$F$1004,'Movimentações'!$C$5:$C$1004,A201,'Movimentações'!$E$5:$E$1004,"Entrada"))</f>
        <v/>
      </c>
      <c r="F201" s="67">
        <f>IF(A201="","",SUMIFS('Movimentações'!$F$5:$F$1004,'Movimentações'!$C$5:$C$1004,A201,'Movimentações'!$E$5:$E$1004,"Saída"))</f>
        <v/>
      </c>
      <c r="G201" s="67">
        <f>IF(A201="","",D201+E201-F201)</f>
        <v/>
      </c>
      <c r="H201" s="67">
        <f>IF(A201="","",'Produtos'!G201)</f>
        <v/>
      </c>
      <c r="I201" s="67">
        <f>IF(A201="","",'Produtos'!H201)</f>
        <v/>
      </c>
      <c r="J201" s="70">
        <f>IF(A201="","",'Produtos'!E201)</f>
        <v/>
      </c>
      <c r="K201" s="70">
        <f>IF(A201="","",G201*J201)</f>
        <v/>
      </c>
      <c r="L201" s="69">
        <f>IF(A201="","",IF(G201&lt;=0,"CRÍTICO",IF(G201&lt;=H201,"REPOR","OK")))</f>
        <v/>
      </c>
      <c r="M201" s="67">
        <f>IF(A201="","",IF(L201="OK",0,MAX(0,I201-G201)))</f>
        <v/>
      </c>
      <c r="N201" s="71">
        <f>IF(A201="","",IF(H201&gt;0,G201/H201,99))</f>
        <v/>
      </c>
      <c r="O201" s="68">
        <f>IF(A201="","",IF(L201="OK","",N201+ROW()/100000))</f>
        <v/>
      </c>
    </row>
    <row r="202">
      <c r="A202" s="69">
        <f>IF('Produtos'!A202="","",'Produtos'!A202)</f>
        <v/>
      </c>
      <c r="B202" s="66">
        <f>IF(A202="","",'Produtos'!B202)</f>
        <v/>
      </c>
      <c r="C202" s="66">
        <f>IF(A202="","",'Produtos'!C202)</f>
        <v/>
      </c>
      <c r="D202" s="67">
        <f>IF(A202="","",'Produtos'!F202)</f>
        <v/>
      </c>
      <c r="E202" s="67">
        <f>IF(A202="","",SUMIFS('Movimentações'!$F$5:$F$1004,'Movimentações'!$C$5:$C$1004,A202,'Movimentações'!$E$5:$E$1004,"Entrada"))</f>
        <v/>
      </c>
      <c r="F202" s="67">
        <f>IF(A202="","",SUMIFS('Movimentações'!$F$5:$F$1004,'Movimentações'!$C$5:$C$1004,A202,'Movimentações'!$E$5:$E$1004,"Saída"))</f>
        <v/>
      </c>
      <c r="G202" s="67">
        <f>IF(A202="","",D202+E202-F202)</f>
        <v/>
      </c>
      <c r="H202" s="67">
        <f>IF(A202="","",'Produtos'!G202)</f>
        <v/>
      </c>
      <c r="I202" s="67">
        <f>IF(A202="","",'Produtos'!H202)</f>
        <v/>
      </c>
      <c r="J202" s="70">
        <f>IF(A202="","",'Produtos'!E202)</f>
        <v/>
      </c>
      <c r="K202" s="70">
        <f>IF(A202="","",G202*J202)</f>
        <v/>
      </c>
      <c r="L202" s="69">
        <f>IF(A202="","",IF(G202&lt;=0,"CRÍTICO",IF(G202&lt;=H202,"REPOR","OK")))</f>
        <v/>
      </c>
      <c r="M202" s="67">
        <f>IF(A202="","",IF(L202="OK",0,MAX(0,I202-G202)))</f>
        <v/>
      </c>
      <c r="N202" s="71">
        <f>IF(A202="","",IF(H202&gt;0,G202/H202,99))</f>
        <v/>
      </c>
      <c r="O202" s="68">
        <f>IF(A202="","",IF(L202="OK","",N202+ROW()/100000))</f>
        <v/>
      </c>
    </row>
    <row r="203">
      <c r="A203" s="69">
        <f>IF('Produtos'!A203="","",'Produtos'!A203)</f>
        <v/>
      </c>
      <c r="B203" s="66">
        <f>IF(A203="","",'Produtos'!B203)</f>
        <v/>
      </c>
      <c r="C203" s="66">
        <f>IF(A203="","",'Produtos'!C203)</f>
        <v/>
      </c>
      <c r="D203" s="67">
        <f>IF(A203="","",'Produtos'!F203)</f>
        <v/>
      </c>
      <c r="E203" s="67">
        <f>IF(A203="","",SUMIFS('Movimentações'!$F$5:$F$1004,'Movimentações'!$C$5:$C$1004,A203,'Movimentações'!$E$5:$E$1004,"Entrada"))</f>
        <v/>
      </c>
      <c r="F203" s="67">
        <f>IF(A203="","",SUMIFS('Movimentações'!$F$5:$F$1004,'Movimentações'!$C$5:$C$1004,A203,'Movimentações'!$E$5:$E$1004,"Saída"))</f>
        <v/>
      </c>
      <c r="G203" s="67">
        <f>IF(A203="","",D203+E203-F203)</f>
        <v/>
      </c>
      <c r="H203" s="67">
        <f>IF(A203="","",'Produtos'!G203)</f>
        <v/>
      </c>
      <c r="I203" s="67">
        <f>IF(A203="","",'Produtos'!H203)</f>
        <v/>
      </c>
      <c r="J203" s="70">
        <f>IF(A203="","",'Produtos'!E203)</f>
        <v/>
      </c>
      <c r="K203" s="70">
        <f>IF(A203="","",G203*J203)</f>
        <v/>
      </c>
      <c r="L203" s="69">
        <f>IF(A203="","",IF(G203&lt;=0,"CRÍTICO",IF(G203&lt;=H203,"REPOR","OK")))</f>
        <v/>
      </c>
      <c r="M203" s="67">
        <f>IF(A203="","",IF(L203="OK",0,MAX(0,I203-G203)))</f>
        <v/>
      </c>
      <c r="N203" s="71">
        <f>IF(A203="","",IF(H203&gt;0,G203/H203,99))</f>
        <v/>
      </c>
      <c r="O203" s="68">
        <f>IF(A203="","",IF(L203="OK","",N203+ROW()/100000))</f>
        <v/>
      </c>
    </row>
    <row r="204">
      <c r="A204" s="69">
        <f>IF('Produtos'!A204="","",'Produtos'!A204)</f>
        <v/>
      </c>
      <c r="B204" s="66">
        <f>IF(A204="","",'Produtos'!B204)</f>
        <v/>
      </c>
      <c r="C204" s="66">
        <f>IF(A204="","",'Produtos'!C204)</f>
        <v/>
      </c>
      <c r="D204" s="67">
        <f>IF(A204="","",'Produtos'!F204)</f>
        <v/>
      </c>
      <c r="E204" s="67">
        <f>IF(A204="","",SUMIFS('Movimentações'!$F$5:$F$1004,'Movimentações'!$C$5:$C$1004,A204,'Movimentações'!$E$5:$E$1004,"Entrada"))</f>
        <v/>
      </c>
      <c r="F204" s="67">
        <f>IF(A204="","",SUMIFS('Movimentações'!$F$5:$F$1004,'Movimentações'!$C$5:$C$1004,A204,'Movimentações'!$E$5:$E$1004,"Saída"))</f>
        <v/>
      </c>
      <c r="G204" s="67">
        <f>IF(A204="","",D204+E204-F204)</f>
        <v/>
      </c>
      <c r="H204" s="67">
        <f>IF(A204="","",'Produtos'!G204)</f>
        <v/>
      </c>
      <c r="I204" s="67">
        <f>IF(A204="","",'Produtos'!H204)</f>
        <v/>
      </c>
      <c r="J204" s="70">
        <f>IF(A204="","",'Produtos'!E204)</f>
        <v/>
      </c>
      <c r="K204" s="70">
        <f>IF(A204="","",G204*J204)</f>
        <v/>
      </c>
      <c r="L204" s="69">
        <f>IF(A204="","",IF(G204&lt;=0,"CRÍTICO",IF(G204&lt;=H204,"REPOR","OK")))</f>
        <v/>
      </c>
      <c r="M204" s="67">
        <f>IF(A204="","",IF(L204="OK",0,MAX(0,I204-G204)))</f>
        <v/>
      </c>
      <c r="N204" s="71">
        <f>IF(A204="","",IF(H204&gt;0,G204/H204,99))</f>
        <v/>
      </c>
      <c r="O204" s="68">
        <f>IF(A204="","",IF(L204="OK","",N204+ROW()/100000))</f>
        <v/>
      </c>
    </row>
  </sheetData>
  <autoFilter ref="A4:O204"/>
  <conditionalFormatting sqref="L5:L204">
    <cfRule type="cellIs" priority="1" operator="equal" dxfId="4">
      <formula>"CRÍTICO"</formula>
    </cfRule>
    <cfRule type="cellIs" priority="2" operator="equal" dxfId="8">
      <formula>"REPOR"</formula>
    </cfRule>
    <cfRule type="cellIs" priority="3" operator="equal" dxfId="9">
      <formula>"OK"</formula>
    </cfRule>
  </conditionalFormatting>
  <conditionalFormatting sqref="G5:G204">
    <cfRule type="expression" priority="4" dxfId="7">
      <formula>AND($A5&lt;&gt;"",$L5&lt;&gt;"OK")</formula>
    </cfRule>
  </conditionalFormatting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tabColor rgb="0012334D"/>
    <outlinePr summaryBelow="1" summaryRight="1"/>
    <pageSetUpPr fitToPage="1"/>
  </sheetPr>
  <dimension ref="A1:S24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13" customWidth="1" min="2" max="2"/>
    <col width="13" customWidth="1" min="3" max="3"/>
    <col width="14" customWidth="1" min="4" max="4"/>
    <col width="14" customWidth="1" min="5" max="5"/>
    <col width="13" customWidth="1" min="6" max="6"/>
    <col width="13" customWidth="1" min="7" max="7"/>
    <col width="13" customWidth="1" min="8" max="8"/>
    <col width="26" customWidth="1" min="9" max="9"/>
    <col width="3" customWidth="1" min="10" max="10"/>
    <col width="3" customWidth="1" min="11" max="11"/>
    <col width="9" customWidth="1" min="12" max="12"/>
    <col width="8" customWidth="1" min="13" max="13"/>
    <col width="11" customWidth="1" min="14" max="14"/>
    <col width="32" customWidth="1" min="15" max="15"/>
    <col width="20" customWidth="1" min="16" max="16"/>
    <col width="11" customWidth="1" min="17" max="17"/>
    <col width="12" customWidth="1" min="18" max="18"/>
    <col width="18" customWidth="1" min="19" max="19"/>
  </cols>
  <sheetData>
    <row r="1" ht="30" customHeight="1">
      <c r="A1" s="52" t="inlineStr">
        <is>
          <t>Almox EO  ·  Relatórios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</row>
    <row r="2" ht="24" customHeight="1">
      <c r="A2" s="53" t="inlineStr">
        <is>
          <t>Relatórios calculados a partir das abas de origem. Também alimentam os indicadores e gráficos do Dashboard.</t>
        </is>
      </c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72" t="inlineStr">
        <is>
          <t>ÁREA DE APOIO AO DASHBOARD  ·  calculada automaticamente, não editar</t>
        </is>
      </c>
      <c r="M2" s="73" t="n"/>
      <c r="N2" s="73" t="n"/>
      <c r="O2" s="73" t="n"/>
      <c r="P2" s="73" t="n"/>
      <c r="Q2" s="73" t="n"/>
      <c r="R2" s="73" t="n"/>
      <c r="S2" s="73" t="n"/>
    </row>
    <row r="4" ht="24" customHeight="1">
      <c r="A4" s="74" t="inlineStr">
        <is>
          <t>1. Relatório mensal de movimentações</t>
        </is>
      </c>
      <c r="B4" s="35" t="n"/>
      <c r="C4" s="35" t="n"/>
      <c r="D4" s="35" t="n"/>
      <c r="E4" s="35" t="n"/>
      <c r="F4" s="35" t="n"/>
      <c r="G4" s="35" t="n"/>
      <c r="H4" s="35" t="n"/>
      <c r="I4" s="35" t="n"/>
      <c r="K4" s="75" t="n"/>
      <c r="L4" s="74" t="inlineStr">
        <is>
          <t>A. Produtos em alerta (mais críticos primeiro)</t>
        </is>
      </c>
      <c r="M4" s="35" t="n"/>
      <c r="N4" s="35" t="n"/>
      <c r="O4" s="35" t="n"/>
      <c r="P4" s="35" t="n"/>
      <c r="Q4" s="35" t="n"/>
      <c r="R4" s="35" t="n"/>
      <c r="S4" s="35" t="n"/>
    </row>
    <row r="5" ht="30" customHeight="1">
      <c r="A5" s="76" t="inlineStr">
        <is>
          <t>Mês</t>
        </is>
      </c>
      <c r="B5" s="76" t="inlineStr">
        <is>
          <t>Início</t>
        </is>
      </c>
      <c r="C5" s="76" t="inlineStr">
        <is>
          <t>Fim</t>
        </is>
      </c>
      <c r="D5" s="76" t="inlineStr">
        <is>
          <t>Unidades recebidas</t>
        </is>
      </c>
      <c r="E5" s="76" t="inlineStr">
        <is>
          <t>Unidades retiradas</t>
        </is>
      </c>
      <c r="F5" s="76" t="inlineStr">
        <is>
          <t>Saldo líquido</t>
        </is>
      </c>
      <c r="G5" s="76" t="inlineStr">
        <is>
          <t>Registros de entrada</t>
        </is>
      </c>
      <c r="H5" s="76" t="inlineStr">
        <is>
          <t>Registros de saída</t>
        </is>
      </c>
      <c r="I5" s="76" t="inlineStr">
        <is>
          <t>Observação</t>
        </is>
      </c>
      <c r="K5" s="75" t="n"/>
      <c r="L5" s="76" t="inlineStr">
        <is>
          <t>Posição</t>
        </is>
      </c>
      <c r="M5" s="76" t="inlineStr">
        <is>
          <t>Linha</t>
        </is>
      </c>
      <c r="N5" s="76" t="inlineStr">
        <is>
          <t>Código</t>
        </is>
      </c>
      <c r="O5" s="76" t="inlineStr">
        <is>
          <t>Produto</t>
        </is>
      </c>
      <c r="P5" s="76" t="inlineStr">
        <is>
          <t>Saldo atual</t>
        </is>
      </c>
      <c r="Q5" s="76" t="inlineStr">
        <is>
          <t>Estoque mínimo</t>
        </is>
      </c>
      <c r="R5" s="76" t="inlineStr">
        <is>
          <t>Qtd. sugerida</t>
        </is>
      </c>
      <c r="S5" s="76" t="inlineStr">
        <is>
          <t>Status</t>
        </is>
      </c>
    </row>
    <row r="6">
      <c r="A6" s="77" t="inlineStr">
        <is>
          <t>Mai/2025</t>
        </is>
      </c>
      <c r="B6" s="78" t="n">
        <v>45778</v>
      </c>
      <c r="C6" s="79">
        <f>EOMONTH(B6,0)</f>
        <v/>
      </c>
      <c r="D6" s="80">
        <f>SUMIFS('Movimentações'!$F$5:$F$1004,'Movimentações'!$E$5:$E$1004,"Entrada",'Movimentações'!$A$5:$A$1004,"&gt;="&amp;B6,'Movimentações'!$A$5:$A$1004,"&lt;="&amp;C6)</f>
        <v/>
      </c>
      <c r="E6" s="80">
        <f>SUMIFS('Movimentações'!$F$5:$F$1004,'Movimentações'!$E$5:$E$1004,"Saída",'Movimentações'!$A$5:$A$1004,"&gt;="&amp;B6,'Movimentações'!$A$5:$A$1004,"&lt;="&amp;C6)</f>
        <v/>
      </c>
      <c r="F6" s="81">
        <f>D6-E6</f>
        <v/>
      </c>
      <c r="G6" s="80">
        <f>COUNTIFS('Movimentações'!$E$5:$E$1004,"Entrada",'Movimentações'!$A$5:$A$1004,"&gt;="&amp;B6,'Movimentações'!$A$5:$A$1004,"&lt;="&amp;C6)</f>
        <v/>
      </c>
      <c r="H6" s="80">
        <f>COUNTIFS('Movimentações'!$E$5:$E$1004,"Saída",'Movimentações'!$A$5:$A$1004,"&gt;="&amp;B6,'Movimentações'!$A$5:$A$1004,"&lt;="&amp;C6)</f>
        <v/>
      </c>
      <c r="I6" s="77" t="inlineStr">
        <is>
          <t>Mês completo</t>
        </is>
      </c>
      <c r="K6" s="75" t="n"/>
      <c r="L6" s="82" t="n">
        <v>1</v>
      </c>
      <c r="M6" s="82">
        <f>IFERROR(MATCH(SMALL('Estoque'!$O$5:$O$204,L6),'Estoque'!$O$5:$O$204,0),"")</f>
        <v/>
      </c>
      <c r="N6" s="82">
        <f>IF($M6="","",INDEX('Estoque'!$A$5:$A$204,$M6))</f>
        <v/>
      </c>
      <c r="O6" s="83">
        <f>IF($M6="","",INDEX('Estoque'!$B$5:$B$204,$M6))</f>
        <v/>
      </c>
      <c r="P6" s="80">
        <f>IF($M6="","",INDEX('Estoque'!$G$5:$G$204,$M6))</f>
        <v/>
      </c>
      <c r="Q6" s="80">
        <f>IF($M6="","",INDEX('Estoque'!$H$5:$H$204,$M6))</f>
        <v/>
      </c>
      <c r="R6" s="80">
        <f>IF($M6="","",INDEX('Estoque'!$M$5:$M$204,$M6))</f>
        <v/>
      </c>
      <c r="S6" s="82">
        <f>IF($M6="","",INDEX('Estoque'!$L$5:$L$204,$M6))</f>
        <v/>
      </c>
    </row>
    <row r="7">
      <c r="A7" s="77" t="inlineStr">
        <is>
          <t>Jun/2025</t>
        </is>
      </c>
      <c r="B7" s="78" t="n">
        <v>45809</v>
      </c>
      <c r="C7" s="79">
        <f>EOMONTH(B7,0)</f>
        <v/>
      </c>
      <c r="D7" s="80">
        <f>SUMIFS('Movimentações'!$F$5:$F$1004,'Movimentações'!$E$5:$E$1004,"Entrada",'Movimentações'!$A$5:$A$1004,"&gt;="&amp;B7,'Movimentações'!$A$5:$A$1004,"&lt;="&amp;C7)</f>
        <v/>
      </c>
      <c r="E7" s="80">
        <f>SUMIFS('Movimentações'!$F$5:$F$1004,'Movimentações'!$E$5:$E$1004,"Saída",'Movimentações'!$A$5:$A$1004,"&gt;="&amp;B7,'Movimentações'!$A$5:$A$1004,"&lt;="&amp;C7)</f>
        <v/>
      </c>
      <c r="F7" s="81">
        <f>D7-E7</f>
        <v/>
      </c>
      <c r="G7" s="80">
        <f>COUNTIFS('Movimentações'!$E$5:$E$1004,"Entrada",'Movimentações'!$A$5:$A$1004,"&gt;="&amp;B7,'Movimentações'!$A$5:$A$1004,"&lt;="&amp;C7)</f>
        <v/>
      </c>
      <c r="H7" s="80">
        <f>COUNTIFS('Movimentações'!$E$5:$E$1004,"Saída",'Movimentações'!$A$5:$A$1004,"&gt;="&amp;B7,'Movimentações'!$A$5:$A$1004,"&lt;="&amp;C7)</f>
        <v/>
      </c>
      <c r="I7" s="77" t="inlineStr">
        <is>
          <t>Mês completo</t>
        </is>
      </c>
      <c r="K7" s="75" t="n"/>
      <c r="L7" s="82" t="n">
        <v>2</v>
      </c>
      <c r="M7" s="82">
        <f>IFERROR(MATCH(SMALL('Estoque'!$O$5:$O$204,L7),'Estoque'!$O$5:$O$204,0),"")</f>
        <v/>
      </c>
      <c r="N7" s="82">
        <f>IF($M7="","",INDEX('Estoque'!$A$5:$A$204,$M7))</f>
        <v/>
      </c>
      <c r="O7" s="83">
        <f>IF($M7="","",INDEX('Estoque'!$B$5:$B$204,$M7))</f>
        <v/>
      </c>
      <c r="P7" s="80">
        <f>IF($M7="","",INDEX('Estoque'!$G$5:$G$204,$M7))</f>
        <v/>
      </c>
      <c r="Q7" s="80">
        <f>IF($M7="","",INDEX('Estoque'!$H$5:$H$204,$M7))</f>
        <v/>
      </c>
      <c r="R7" s="80">
        <f>IF($M7="","",INDEX('Estoque'!$M$5:$M$204,$M7))</f>
        <v/>
      </c>
      <c r="S7" s="82">
        <f>IF($M7="","",INDEX('Estoque'!$L$5:$L$204,$M7))</f>
        <v/>
      </c>
    </row>
    <row r="8">
      <c r="A8" s="77" t="inlineStr">
        <is>
          <t>Jul/2025</t>
        </is>
      </c>
      <c r="B8" s="78" t="n">
        <v>45839</v>
      </c>
      <c r="C8" s="79">
        <f>EOMONTH(B8,0)</f>
        <v/>
      </c>
      <c r="D8" s="80">
        <f>SUMIFS('Movimentações'!$F$5:$F$1004,'Movimentações'!$E$5:$E$1004,"Entrada",'Movimentações'!$A$5:$A$1004,"&gt;="&amp;B8,'Movimentações'!$A$5:$A$1004,"&lt;="&amp;C8)</f>
        <v/>
      </c>
      <c r="E8" s="80">
        <f>SUMIFS('Movimentações'!$F$5:$F$1004,'Movimentações'!$E$5:$E$1004,"Saída",'Movimentações'!$A$5:$A$1004,"&gt;="&amp;B8,'Movimentações'!$A$5:$A$1004,"&lt;="&amp;C8)</f>
        <v/>
      </c>
      <c r="F8" s="81">
        <f>D8-E8</f>
        <v/>
      </c>
      <c r="G8" s="80">
        <f>COUNTIFS('Movimentações'!$E$5:$E$1004,"Entrada",'Movimentações'!$A$5:$A$1004,"&gt;="&amp;B8,'Movimentações'!$A$5:$A$1004,"&lt;="&amp;C8)</f>
        <v/>
      </c>
      <c r="H8" s="80">
        <f>COUNTIFS('Movimentações'!$E$5:$E$1004,"Saída",'Movimentações'!$A$5:$A$1004,"&gt;="&amp;B8,'Movimentações'!$A$5:$A$1004,"&lt;="&amp;C8)</f>
        <v/>
      </c>
      <c r="I8" s="77" t="inlineStr">
        <is>
          <t>Mês completo</t>
        </is>
      </c>
      <c r="K8" s="75" t="n"/>
      <c r="L8" s="82" t="n">
        <v>3</v>
      </c>
      <c r="M8" s="82">
        <f>IFERROR(MATCH(SMALL('Estoque'!$O$5:$O$204,L8),'Estoque'!$O$5:$O$204,0),"")</f>
        <v/>
      </c>
      <c r="N8" s="82">
        <f>IF($M8="","",INDEX('Estoque'!$A$5:$A$204,$M8))</f>
        <v/>
      </c>
      <c r="O8" s="83">
        <f>IF($M8="","",INDEX('Estoque'!$B$5:$B$204,$M8))</f>
        <v/>
      </c>
      <c r="P8" s="80">
        <f>IF($M8="","",INDEX('Estoque'!$G$5:$G$204,$M8))</f>
        <v/>
      </c>
      <c r="Q8" s="80">
        <f>IF($M8="","",INDEX('Estoque'!$H$5:$H$204,$M8))</f>
        <v/>
      </c>
      <c r="R8" s="80">
        <f>IF($M8="","",INDEX('Estoque'!$M$5:$M$204,$M8))</f>
        <v/>
      </c>
      <c r="S8" s="82">
        <f>IF($M8="","",INDEX('Estoque'!$L$5:$L$204,$M8))</f>
        <v/>
      </c>
    </row>
    <row r="9">
      <c r="A9" s="77" t="inlineStr">
        <is>
          <t>Ago/2025</t>
        </is>
      </c>
      <c r="B9" s="78" t="n">
        <v>45870</v>
      </c>
      <c r="C9" s="79">
        <f>EOMONTH(B9,0)</f>
        <v/>
      </c>
      <c r="D9" s="80">
        <f>SUMIFS('Movimentações'!$F$5:$F$1004,'Movimentações'!$E$5:$E$1004,"Entrada",'Movimentações'!$A$5:$A$1004,"&gt;="&amp;B9,'Movimentações'!$A$5:$A$1004,"&lt;="&amp;C9)</f>
        <v/>
      </c>
      <c r="E9" s="80">
        <f>SUMIFS('Movimentações'!$F$5:$F$1004,'Movimentações'!$E$5:$E$1004,"Saída",'Movimentações'!$A$5:$A$1004,"&gt;="&amp;B9,'Movimentações'!$A$5:$A$1004,"&lt;="&amp;C9)</f>
        <v/>
      </c>
      <c r="F9" s="81">
        <f>D9-E9</f>
        <v/>
      </c>
      <c r="G9" s="80">
        <f>COUNTIFS('Movimentações'!$E$5:$E$1004,"Entrada",'Movimentações'!$A$5:$A$1004,"&gt;="&amp;B9,'Movimentações'!$A$5:$A$1004,"&lt;="&amp;C9)</f>
        <v/>
      </c>
      <c r="H9" s="80">
        <f>COUNTIFS('Movimentações'!$E$5:$E$1004,"Saída",'Movimentações'!$A$5:$A$1004,"&gt;="&amp;B9,'Movimentações'!$A$5:$A$1004,"&lt;="&amp;C9)</f>
        <v/>
      </c>
      <c r="I9" s="77" t="inlineStr">
        <is>
          <t>Mês completo</t>
        </is>
      </c>
      <c r="K9" s="75" t="n"/>
      <c r="L9" s="82" t="n">
        <v>4</v>
      </c>
      <c r="M9" s="82">
        <f>IFERROR(MATCH(SMALL('Estoque'!$O$5:$O$204,L9),'Estoque'!$O$5:$O$204,0),"")</f>
        <v/>
      </c>
      <c r="N9" s="82">
        <f>IF($M9="","",INDEX('Estoque'!$A$5:$A$204,$M9))</f>
        <v/>
      </c>
      <c r="O9" s="83">
        <f>IF($M9="","",INDEX('Estoque'!$B$5:$B$204,$M9))</f>
        <v/>
      </c>
      <c r="P9" s="80">
        <f>IF($M9="","",INDEX('Estoque'!$G$5:$G$204,$M9))</f>
        <v/>
      </c>
      <c r="Q9" s="80">
        <f>IF($M9="","",INDEX('Estoque'!$H$5:$H$204,$M9))</f>
        <v/>
      </c>
      <c r="R9" s="80">
        <f>IF($M9="","",INDEX('Estoque'!$M$5:$M$204,$M9))</f>
        <v/>
      </c>
      <c r="S9" s="82">
        <f>IF($M9="","",INDEX('Estoque'!$L$5:$L$204,$M9))</f>
        <v/>
      </c>
    </row>
    <row r="10">
      <c r="A10" s="77" t="inlineStr">
        <is>
          <t>Set/2025</t>
        </is>
      </c>
      <c r="B10" s="78" t="n">
        <v>45901</v>
      </c>
      <c r="C10" s="79">
        <f>EOMONTH(B10,0)</f>
        <v/>
      </c>
      <c r="D10" s="80">
        <f>SUMIFS('Movimentações'!$F$5:$F$1004,'Movimentações'!$E$5:$E$1004,"Entrada",'Movimentações'!$A$5:$A$1004,"&gt;="&amp;B10,'Movimentações'!$A$5:$A$1004,"&lt;="&amp;C10)</f>
        <v/>
      </c>
      <c r="E10" s="80">
        <f>SUMIFS('Movimentações'!$F$5:$F$1004,'Movimentações'!$E$5:$E$1004,"Saída",'Movimentações'!$A$5:$A$1004,"&gt;="&amp;B10,'Movimentações'!$A$5:$A$1004,"&lt;="&amp;C10)</f>
        <v/>
      </c>
      <c r="F10" s="81">
        <f>D10-E10</f>
        <v/>
      </c>
      <c r="G10" s="80">
        <f>COUNTIFS('Movimentações'!$E$5:$E$1004,"Entrada",'Movimentações'!$A$5:$A$1004,"&gt;="&amp;B10,'Movimentações'!$A$5:$A$1004,"&lt;="&amp;C10)</f>
        <v/>
      </c>
      <c r="H10" s="80">
        <f>COUNTIFS('Movimentações'!$E$5:$E$1004,"Saída",'Movimentações'!$A$5:$A$1004,"&gt;="&amp;B10,'Movimentações'!$A$5:$A$1004,"&lt;="&amp;C10)</f>
        <v/>
      </c>
      <c r="I10" s="77" t="inlineStr">
        <is>
          <t>Mês completo</t>
        </is>
      </c>
      <c r="K10" s="75" t="n"/>
      <c r="L10" s="82" t="n">
        <v>5</v>
      </c>
      <c r="M10" s="82">
        <f>IFERROR(MATCH(SMALL('Estoque'!$O$5:$O$204,L10),'Estoque'!$O$5:$O$204,0),"")</f>
        <v/>
      </c>
      <c r="N10" s="82">
        <f>IF($M10="","",INDEX('Estoque'!$A$5:$A$204,$M10))</f>
        <v/>
      </c>
      <c r="O10" s="83">
        <f>IF($M10="","",INDEX('Estoque'!$B$5:$B$204,$M10))</f>
        <v/>
      </c>
      <c r="P10" s="80">
        <f>IF($M10="","",INDEX('Estoque'!$G$5:$G$204,$M10))</f>
        <v/>
      </c>
      <c r="Q10" s="80">
        <f>IF($M10="","",INDEX('Estoque'!$H$5:$H$204,$M10))</f>
        <v/>
      </c>
      <c r="R10" s="80">
        <f>IF($M10="","",INDEX('Estoque'!$M$5:$M$204,$M10))</f>
        <v/>
      </c>
      <c r="S10" s="82">
        <f>IF($M10="","",INDEX('Estoque'!$L$5:$L$204,$M10))</f>
        <v/>
      </c>
    </row>
    <row r="11">
      <c r="A11" s="77" t="inlineStr">
        <is>
          <t>Out/2025</t>
        </is>
      </c>
      <c r="B11" s="78" t="n">
        <v>45931</v>
      </c>
      <c r="C11" s="79">
        <f>EOMONTH(B11,0)</f>
        <v/>
      </c>
      <c r="D11" s="80">
        <f>SUMIFS('Movimentações'!$F$5:$F$1004,'Movimentações'!$E$5:$E$1004,"Entrada",'Movimentações'!$A$5:$A$1004,"&gt;="&amp;B11,'Movimentações'!$A$5:$A$1004,"&lt;="&amp;C11)</f>
        <v/>
      </c>
      <c r="E11" s="80">
        <f>SUMIFS('Movimentações'!$F$5:$F$1004,'Movimentações'!$E$5:$E$1004,"Saída",'Movimentações'!$A$5:$A$1004,"&gt;="&amp;B11,'Movimentações'!$A$5:$A$1004,"&lt;="&amp;C11)</f>
        <v/>
      </c>
      <c r="F11" s="81">
        <f>D11-E11</f>
        <v/>
      </c>
      <c r="G11" s="80">
        <f>COUNTIFS('Movimentações'!$E$5:$E$1004,"Entrada",'Movimentações'!$A$5:$A$1004,"&gt;="&amp;B11,'Movimentações'!$A$5:$A$1004,"&lt;="&amp;C11)</f>
        <v/>
      </c>
      <c r="H11" s="80">
        <f>COUNTIFS('Movimentações'!$E$5:$E$1004,"Saída",'Movimentações'!$A$5:$A$1004,"&gt;="&amp;B11,'Movimentações'!$A$5:$A$1004,"&lt;="&amp;C11)</f>
        <v/>
      </c>
      <c r="I11" s="77" t="inlineStr">
        <is>
          <t>Mês completo</t>
        </is>
      </c>
      <c r="K11" s="75" t="n"/>
      <c r="L11" s="82" t="n">
        <v>6</v>
      </c>
      <c r="M11" s="82">
        <f>IFERROR(MATCH(SMALL('Estoque'!$O$5:$O$204,L11),'Estoque'!$O$5:$O$204,0),"")</f>
        <v/>
      </c>
      <c r="N11" s="82">
        <f>IF($M11="","",INDEX('Estoque'!$A$5:$A$204,$M11))</f>
        <v/>
      </c>
      <c r="O11" s="83">
        <f>IF($M11="","",INDEX('Estoque'!$B$5:$B$204,$M11))</f>
        <v/>
      </c>
      <c r="P11" s="80">
        <f>IF($M11="","",INDEX('Estoque'!$G$5:$G$204,$M11))</f>
        <v/>
      </c>
      <c r="Q11" s="80">
        <f>IF($M11="","",INDEX('Estoque'!$H$5:$H$204,$M11))</f>
        <v/>
      </c>
      <c r="R11" s="80">
        <f>IF($M11="","",INDEX('Estoque'!$M$5:$M$204,$M11))</f>
        <v/>
      </c>
      <c r="S11" s="82">
        <f>IF($M11="","",INDEX('Estoque'!$L$5:$L$204,$M11))</f>
        <v/>
      </c>
    </row>
    <row r="12">
      <c r="A12" s="84" t="inlineStr">
        <is>
          <t>Total do período</t>
        </is>
      </c>
      <c r="B12" s="85" t="n"/>
      <c r="C12" s="85" t="n"/>
      <c r="D12" s="86">
        <f>SUM(D6:D11)</f>
        <v/>
      </c>
      <c r="E12" s="86">
        <f>SUM(E6:E11)</f>
        <v/>
      </c>
      <c r="F12" s="87">
        <f>SUM(F6:F11)</f>
        <v/>
      </c>
      <c r="G12" s="86">
        <f>SUM(G6:G11)</f>
        <v/>
      </c>
      <c r="H12" s="86">
        <f>SUM(H6:H11)</f>
        <v/>
      </c>
      <c r="I12" s="84" t="n"/>
      <c r="K12" s="75" t="n"/>
      <c r="L12" s="82" t="n">
        <v>7</v>
      </c>
      <c r="M12" s="82">
        <f>IFERROR(MATCH(SMALL('Estoque'!$O$5:$O$204,L12),'Estoque'!$O$5:$O$204,0),"")</f>
        <v/>
      </c>
      <c r="N12" s="82">
        <f>IF($M12="","",INDEX('Estoque'!$A$5:$A$204,$M12))</f>
        <v/>
      </c>
      <c r="O12" s="83">
        <f>IF($M12="","",INDEX('Estoque'!$B$5:$B$204,$M12))</f>
        <v/>
      </c>
      <c r="P12" s="80">
        <f>IF($M12="","",INDEX('Estoque'!$G$5:$G$204,$M12))</f>
        <v/>
      </c>
      <c r="Q12" s="80">
        <f>IF($M12="","",INDEX('Estoque'!$H$5:$H$204,$M12))</f>
        <v/>
      </c>
      <c r="R12" s="80">
        <f>IF($M12="","",INDEX('Estoque'!$M$5:$M$204,$M12))</f>
        <v/>
      </c>
      <c r="S12" s="82">
        <f>IF($M12="","",INDEX('Estoque'!$L$5:$L$204,$M12))</f>
        <v/>
      </c>
    </row>
    <row r="13">
      <c r="K13" s="75" t="n"/>
      <c r="L13" s="82" t="n">
        <v>8</v>
      </c>
      <c r="M13" s="82">
        <f>IFERROR(MATCH(SMALL('Estoque'!$O$5:$O$204,L13),'Estoque'!$O$5:$O$204,0),"")</f>
        <v/>
      </c>
      <c r="N13" s="82">
        <f>IF($M13="","",INDEX('Estoque'!$A$5:$A$204,$M13))</f>
        <v/>
      </c>
      <c r="O13" s="83">
        <f>IF($M13="","",INDEX('Estoque'!$B$5:$B$204,$M13))</f>
        <v/>
      </c>
      <c r="P13" s="80">
        <f>IF($M13="","",INDEX('Estoque'!$G$5:$G$204,$M13))</f>
        <v/>
      </c>
      <c r="Q13" s="80">
        <f>IF($M13="","",INDEX('Estoque'!$H$5:$H$204,$M13))</f>
        <v/>
      </c>
      <c r="R13" s="80">
        <f>IF($M13="","",INDEX('Estoque'!$M$5:$M$204,$M13))</f>
        <v/>
      </c>
      <c r="S13" s="82">
        <f>IF($M13="","",INDEX('Estoque'!$L$5:$L$204,$M13))</f>
        <v/>
      </c>
    </row>
    <row r="14">
      <c r="K14" s="75" t="n"/>
    </row>
    <row r="15" ht="24" customHeight="1">
      <c r="A15" s="74" t="inlineStr">
        <is>
          <t>2. Relatório por categoria</t>
        </is>
      </c>
      <c r="B15" s="35" t="n"/>
      <c r="C15" s="35" t="n"/>
      <c r="D15" s="35" t="n"/>
      <c r="E15" s="35" t="n"/>
      <c r="F15" s="35" t="n"/>
      <c r="G15" s="35" t="n"/>
      <c r="H15" s="35" t="n"/>
      <c r="I15" s="35" t="n"/>
      <c r="K15" s="75" t="n"/>
    </row>
    <row r="16" ht="24" customHeight="1">
      <c r="A16" s="76" t="inlineStr">
        <is>
          <t>Categoria</t>
        </is>
      </c>
      <c r="B16" s="76" t="inlineStr">
        <is>
          <t>Qtd. de produtos</t>
        </is>
      </c>
      <c r="C16" s="76" t="inlineStr">
        <is>
          <t>Valor total do estoque (R$)</t>
        </is>
      </c>
      <c r="D16" s="76" t="inlineStr">
        <is>
          <t>Produtos para repor</t>
        </is>
      </c>
      <c r="E16" s="76" t="inlineStr">
        <is>
          <t>Participação no valor</t>
        </is>
      </c>
      <c r="K16" s="75" t="n"/>
      <c r="L16" s="74" t="inlineStr">
        <is>
          <t>B. Movimentações mais recentes</t>
        </is>
      </c>
      <c r="M16" s="35" t="n"/>
      <c r="N16" s="35" t="n"/>
      <c r="O16" s="35" t="n"/>
      <c r="P16" s="35" t="n"/>
      <c r="Q16" s="35" t="n"/>
      <c r="R16" s="35" t="n"/>
      <c r="S16" s="35" t="n"/>
    </row>
    <row r="17" ht="30" customHeight="1">
      <c r="A17" s="83">
        <f>L30</f>
        <v/>
      </c>
      <c r="B17" s="80">
        <f>COUNTIF('Produtos'!$C$5:$C$204,A17)</f>
        <v/>
      </c>
      <c r="C17" s="88">
        <f>SUMIF('Estoque'!$C$5:$C$204,A17,'Estoque'!$K$5:$K$204)</f>
        <v/>
      </c>
      <c r="D17" s="80">
        <f>COUNTIFS('Estoque'!$C$5:$C$204,A17,'Estoque'!$L$5:$L$204,"&lt;&gt;OK")</f>
        <v/>
      </c>
      <c r="E17" s="89">
        <f>IF($C$24=0,0,C17/$C$24)</f>
        <v/>
      </c>
      <c r="K17" s="75" t="n"/>
      <c r="L17" s="76" t="inlineStr">
        <is>
          <t>Posição</t>
        </is>
      </c>
      <c r="M17" s="76" t="inlineStr">
        <is>
          <t>Linha</t>
        </is>
      </c>
      <c r="N17" s="76" t="inlineStr">
        <is>
          <t>Data</t>
        </is>
      </c>
      <c r="O17" s="76" t="inlineStr">
        <is>
          <t>Código</t>
        </is>
      </c>
      <c r="P17" s="76" t="inlineStr">
        <is>
          <t>Produto</t>
        </is>
      </c>
      <c r="Q17" s="76" t="inlineStr">
        <is>
          <t>Tipo</t>
        </is>
      </c>
      <c r="R17" s="76" t="inlineStr">
        <is>
          <t>Quantidade</t>
        </is>
      </c>
      <c r="S17" s="76" t="inlineStr">
        <is>
          <t>Responsável</t>
        </is>
      </c>
    </row>
    <row r="18">
      <c r="A18" s="83">
        <f>L31</f>
        <v/>
      </c>
      <c r="B18" s="80">
        <f>COUNTIF('Produtos'!$C$5:$C$204,A18)</f>
        <v/>
      </c>
      <c r="C18" s="88">
        <f>SUMIF('Estoque'!$C$5:$C$204,A18,'Estoque'!$K$5:$K$204)</f>
        <v/>
      </c>
      <c r="D18" s="80">
        <f>COUNTIFS('Estoque'!$C$5:$C$204,A18,'Estoque'!$L$5:$L$204,"&lt;&gt;OK")</f>
        <v/>
      </c>
      <c r="E18" s="89">
        <f>IF($C$24=0,0,C18/$C$24)</f>
        <v/>
      </c>
      <c r="K18" s="75" t="n"/>
      <c r="L18" s="82" t="n">
        <v>1</v>
      </c>
      <c r="M18" s="82">
        <f>IFERROR(MATCH(LARGE('Movimentações'!$J$5:$J$1004,L18),'Movimentações'!$J$5:$J$1004,0),"")</f>
        <v/>
      </c>
      <c r="N18" s="79">
        <f>IF($M18="","",INDEX('Movimentações'!$A$5:$A$1004,$M18))</f>
        <v/>
      </c>
      <c r="O18" s="82">
        <f>IF($M18="","",INDEX('Movimentações'!$C$5:$C$1004,$M18))</f>
        <v/>
      </c>
      <c r="P18" s="83">
        <f>IF($M18="","",INDEX('Movimentações'!$D$5:$D$1004,$M18))</f>
        <v/>
      </c>
      <c r="Q18" s="82">
        <f>IF($M18="","",INDEX('Movimentações'!$E$5:$E$1004,$M18))</f>
        <v/>
      </c>
      <c r="R18" s="80">
        <f>IF($M18="","",INDEX('Movimentações'!$F$5:$F$1004,$M18))</f>
        <v/>
      </c>
      <c r="S18" s="83">
        <f>IF($M18="","",INDEX('Movimentações'!$G$5:$G$1004,$M18))</f>
        <v/>
      </c>
    </row>
    <row r="19">
      <c r="A19" s="83">
        <f>L32</f>
        <v/>
      </c>
      <c r="B19" s="80">
        <f>COUNTIF('Produtos'!$C$5:$C$204,A19)</f>
        <v/>
      </c>
      <c r="C19" s="88">
        <f>SUMIF('Estoque'!$C$5:$C$204,A19,'Estoque'!$K$5:$K$204)</f>
        <v/>
      </c>
      <c r="D19" s="80">
        <f>COUNTIFS('Estoque'!$C$5:$C$204,A19,'Estoque'!$L$5:$L$204,"&lt;&gt;OK")</f>
        <v/>
      </c>
      <c r="E19" s="89">
        <f>IF($C$24=0,0,C19/$C$24)</f>
        <v/>
      </c>
      <c r="K19" s="75" t="n"/>
      <c r="L19" s="82" t="n">
        <v>2</v>
      </c>
      <c r="M19" s="82">
        <f>IFERROR(MATCH(LARGE('Movimentações'!$J$5:$J$1004,L19),'Movimentações'!$J$5:$J$1004,0),"")</f>
        <v/>
      </c>
      <c r="N19" s="79">
        <f>IF($M19="","",INDEX('Movimentações'!$A$5:$A$1004,$M19))</f>
        <v/>
      </c>
      <c r="O19" s="82">
        <f>IF($M19="","",INDEX('Movimentações'!$C$5:$C$1004,$M19))</f>
        <v/>
      </c>
      <c r="P19" s="83">
        <f>IF($M19="","",INDEX('Movimentações'!$D$5:$D$1004,$M19))</f>
        <v/>
      </c>
      <c r="Q19" s="82">
        <f>IF($M19="","",INDEX('Movimentações'!$E$5:$E$1004,$M19))</f>
        <v/>
      </c>
      <c r="R19" s="80">
        <f>IF($M19="","",INDEX('Movimentações'!$F$5:$F$1004,$M19))</f>
        <v/>
      </c>
      <c r="S19" s="83">
        <f>IF($M19="","",INDEX('Movimentações'!$G$5:$G$1004,$M19))</f>
        <v/>
      </c>
    </row>
    <row r="20">
      <c r="A20" s="83">
        <f>L33</f>
        <v/>
      </c>
      <c r="B20" s="80">
        <f>COUNTIF('Produtos'!$C$5:$C$204,A20)</f>
        <v/>
      </c>
      <c r="C20" s="88">
        <f>SUMIF('Estoque'!$C$5:$C$204,A20,'Estoque'!$K$5:$K$204)</f>
        <v/>
      </c>
      <c r="D20" s="80">
        <f>COUNTIFS('Estoque'!$C$5:$C$204,A20,'Estoque'!$L$5:$L$204,"&lt;&gt;OK")</f>
        <v/>
      </c>
      <c r="E20" s="89">
        <f>IF($C$24=0,0,C20/$C$24)</f>
        <v/>
      </c>
      <c r="K20" s="75" t="n"/>
      <c r="L20" s="82" t="n">
        <v>3</v>
      </c>
      <c r="M20" s="82">
        <f>IFERROR(MATCH(LARGE('Movimentações'!$J$5:$J$1004,L20),'Movimentações'!$J$5:$J$1004,0),"")</f>
        <v/>
      </c>
      <c r="N20" s="79">
        <f>IF($M20="","",INDEX('Movimentações'!$A$5:$A$1004,$M20))</f>
        <v/>
      </c>
      <c r="O20" s="82">
        <f>IF($M20="","",INDEX('Movimentações'!$C$5:$C$1004,$M20))</f>
        <v/>
      </c>
      <c r="P20" s="83">
        <f>IF($M20="","",INDEX('Movimentações'!$D$5:$D$1004,$M20))</f>
        <v/>
      </c>
      <c r="Q20" s="82">
        <f>IF($M20="","",INDEX('Movimentações'!$E$5:$E$1004,$M20))</f>
        <v/>
      </c>
      <c r="R20" s="80">
        <f>IF($M20="","",INDEX('Movimentações'!$F$5:$F$1004,$M20))</f>
        <v/>
      </c>
      <c r="S20" s="83">
        <f>IF($M20="","",INDEX('Movimentações'!$G$5:$G$1004,$M20))</f>
        <v/>
      </c>
    </row>
    <row r="21">
      <c r="A21" s="83">
        <f>L34</f>
        <v/>
      </c>
      <c r="B21" s="80">
        <f>COUNTIF('Produtos'!$C$5:$C$204,A21)</f>
        <v/>
      </c>
      <c r="C21" s="88">
        <f>SUMIF('Estoque'!$C$5:$C$204,A21,'Estoque'!$K$5:$K$204)</f>
        <v/>
      </c>
      <c r="D21" s="80">
        <f>COUNTIFS('Estoque'!$C$5:$C$204,A21,'Estoque'!$L$5:$L$204,"&lt;&gt;OK")</f>
        <v/>
      </c>
      <c r="E21" s="89">
        <f>IF($C$24=0,0,C21/$C$24)</f>
        <v/>
      </c>
      <c r="K21" s="75" t="n"/>
      <c r="L21" s="82" t="n">
        <v>4</v>
      </c>
      <c r="M21" s="82">
        <f>IFERROR(MATCH(LARGE('Movimentações'!$J$5:$J$1004,L21),'Movimentações'!$J$5:$J$1004,0),"")</f>
        <v/>
      </c>
      <c r="N21" s="79">
        <f>IF($M21="","",INDEX('Movimentações'!$A$5:$A$1004,$M21))</f>
        <v/>
      </c>
      <c r="O21" s="82">
        <f>IF($M21="","",INDEX('Movimentações'!$C$5:$C$1004,$M21))</f>
        <v/>
      </c>
      <c r="P21" s="83">
        <f>IF($M21="","",INDEX('Movimentações'!$D$5:$D$1004,$M21))</f>
        <v/>
      </c>
      <c r="Q21" s="82">
        <f>IF($M21="","",INDEX('Movimentações'!$E$5:$E$1004,$M21))</f>
        <v/>
      </c>
      <c r="R21" s="80">
        <f>IF($M21="","",INDEX('Movimentações'!$F$5:$F$1004,$M21))</f>
        <v/>
      </c>
      <c r="S21" s="83">
        <f>IF($M21="","",INDEX('Movimentações'!$G$5:$G$1004,$M21))</f>
        <v/>
      </c>
    </row>
    <row r="22">
      <c r="A22" s="83">
        <f>L35</f>
        <v/>
      </c>
      <c r="B22" s="80">
        <f>COUNTIF('Produtos'!$C$5:$C$204,A22)</f>
        <v/>
      </c>
      <c r="C22" s="88">
        <f>SUMIF('Estoque'!$C$5:$C$204,A22,'Estoque'!$K$5:$K$204)</f>
        <v/>
      </c>
      <c r="D22" s="80">
        <f>COUNTIFS('Estoque'!$C$5:$C$204,A22,'Estoque'!$L$5:$L$204,"&lt;&gt;OK")</f>
        <v/>
      </c>
      <c r="E22" s="89">
        <f>IF($C$24=0,0,C22/$C$24)</f>
        <v/>
      </c>
      <c r="K22" s="75" t="n"/>
      <c r="L22" s="82" t="n">
        <v>5</v>
      </c>
      <c r="M22" s="82">
        <f>IFERROR(MATCH(LARGE('Movimentações'!$J$5:$J$1004,L22),'Movimentações'!$J$5:$J$1004,0),"")</f>
        <v/>
      </c>
      <c r="N22" s="79">
        <f>IF($M22="","",INDEX('Movimentações'!$A$5:$A$1004,$M22))</f>
        <v/>
      </c>
      <c r="O22" s="82">
        <f>IF($M22="","",INDEX('Movimentações'!$C$5:$C$1004,$M22))</f>
        <v/>
      </c>
      <c r="P22" s="83">
        <f>IF($M22="","",INDEX('Movimentações'!$D$5:$D$1004,$M22))</f>
        <v/>
      </c>
      <c r="Q22" s="82">
        <f>IF($M22="","",INDEX('Movimentações'!$E$5:$E$1004,$M22))</f>
        <v/>
      </c>
      <c r="R22" s="80">
        <f>IF($M22="","",INDEX('Movimentações'!$F$5:$F$1004,$M22))</f>
        <v/>
      </c>
      <c r="S22" s="83">
        <f>IF($M22="","",INDEX('Movimentações'!$G$5:$G$1004,$M22))</f>
        <v/>
      </c>
    </row>
    <row r="23">
      <c r="A23" s="83">
        <f>L36</f>
        <v/>
      </c>
      <c r="B23" s="80">
        <f>COUNTIF('Produtos'!$C$5:$C$204,A23)</f>
        <v/>
      </c>
      <c r="C23" s="88">
        <f>SUMIF('Estoque'!$C$5:$C$204,A23,'Estoque'!$K$5:$K$204)</f>
        <v/>
      </c>
      <c r="D23" s="80">
        <f>COUNTIFS('Estoque'!$C$5:$C$204,A23,'Estoque'!$L$5:$L$204,"&lt;&gt;OK")</f>
        <v/>
      </c>
      <c r="E23" s="89">
        <f>IF($C$24=0,0,C23/$C$24)</f>
        <v/>
      </c>
      <c r="K23" s="75" t="n"/>
      <c r="L23" s="82" t="n">
        <v>6</v>
      </c>
      <c r="M23" s="82">
        <f>IFERROR(MATCH(LARGE('Movimentações'!$J$5:$J$1004,L23),'Movimentações'!$J$5:$J$1004,0),"")</f>
        <v/>
      </c>
      <c r="N23" s="79">
        <f>IF($M23="","",INDEX('Movimentações'!$A$5:$A$1004,$M23))</f>
        <v/>
      </c>
      <c r="O23" s="82">
        <f>IF($M23="","",INDEX('Movimentações'!$C$5:$C$1004,$M23))</f>
        <v/>
      </c>
      <c r="P23" s="83">
        <f>IF($M23="","",INDEX('Movimentações'!$D$5:$D$1004,$M23))</f>
        <v/>
      </c>
      <c r="Q23" s="82">
        <f>IF($M23="","",INDEX('Movimentações'!$E$5:$E$1004,$M23))</f>
        <v/>
      </c>
      <c r="R23" s="80">
        <f>IF($M23="","",INDEX('Movimentações'!$F$5:$F$1004,$M23))</f>
        <v/>
      </c>
      <c r="S23" s="83">
        <f>IF($M23="","",INDEX('Movimentações'!$G$5:$G$1004,$M23))</f>
        <v/>
      </c>
    </row>
    <row r="24">
      <c r="A24" s="84" t="inlineStr">
        <is>
          <t>Total</t>
        </is>
      </c>
      <c r="B24" s="86">
        <f>SUM(B17:B23)</f>
        <v/>
      </c>
      <c r="C24" s="90">
        <f>SUM(C17:C23)</f>
        <v/>
      </c>
      <c r="D24" s="86">
        <f>SUM(D17:D23)</f>
        <v/>
      </c>
      <c r="E24" s="91">
        <f>SUM(E17:E23)</f>
        <v/>
      </c>
      <c r="K24" s="75" t="n"/>
      <c r="L24" s="82" t="n">
        <v>7</v>
      </c>
      <c r="M24" s="82">
        <f>IFERROR(MATCH(LARGE('Movimentações'!$J$5:$J$1004,L24),'Movimentações'!$J$5:$J$1004,0),"")</f>
        <v/>
      </c>
      <c r="N24" s="79">
        <f>IF($M24="","",INDEX('Movimentações'!$A$5:$A$1004,$M24))</f>
        <v/>
      </c>
      <c r="O24" s="82">
        <f>IF($M24="","",INDEX('Movimentações'!$C$5:$C$1004,$M24))</f>
        <v/>
      </c>
      <c r="P24" s="83">
        <f>IF($M24="","",INDEX('Movimentações'!$D$5:$D$1004,$M24))</f>
        <v/>
      </c>
      <c r="Q24" s="82">
        <f>IF($M24="","",INDEX('Movimentações'!$E$5:$E$1004,$M24))</f>
        <v/>
      </c>
      <c r="R24" s="80">
        <f>IF($M24="","",INDEX('Movimentações'!$F$5:$F$1004,$M24))</f>
        <v/>
      </c>
      <c r="S24" s="83">
        <f>IF($M24="","",INDEX('Movimentações'!$G$5:$G$1004,$M24))</f>
        <v/>
      </c>
    </row>
    <row r="25">
      <c r="K25" s="75" t="n"/>
      <c r="L25" s="82" t="n">
        <v>8</v>
      </c>
      <c r="M25" s="82">
        <f>IFERROR(MATCH(LARGE('Movimentações'!$J$5:$J$1004,L25),'Movimentações'!$J$5:$J$1004,0),"")</f>
        <v/>
      </c>
      <c r="N25" s="79">
        <f>IF($M25="","",INDEX('Movimentações'!$A$5:$A$1004,$M25))</f>
        <v/>
      </c>
      <c r="O25" s="82">
        <f>IF($M25="","",INDEX('Movimentações'!$C$5:$C$1004,$M25))</f>
        <v/>
      </c>
      <c r="P25" s="83">
        <f>IF($M25="","",INDEX('Movimentações'!$D$5:$D$1004,$M25))</f>
        <v/>
      </c>
      <c r="Q25" s="82">
        <f>IF($M25="","",INDEX('Movimentações'!$E$5:$E$1004,$M25))</f>
        <v/>
      </c>
      <c r="R25" s="80">
        <f>IF($M25="","",INDEX('Movimentações'!$F$5:$F$1004,$M25))</f>
        <v/>
      </c>
      <c r="S25" s="83">
        <f>IF($M25="","",INDEX('Movimentações'!$G$5:$G$1004,$M25))</f>
        <v/>
      </c>
    </row>
    <row r="26">
      <c r="K26" s="75" t="n"/>
    </row>
    <row r="27" ht="24" customHeight="1">
      <c r="A27" s="74" t="inlineStr">
        <is>
          <t>3. Top 10 produtos mais movimentados</t>
        </is>
      </c>
      <c r="B27" s="35" t="n"/>
      <c r="C27" s="35" t="n"/>
      <c r="D27" s="35" t="n"/>
      <c r="E27" s="35" t="n"/>
      <c r="F27" s="35" t="n"/>
      <c r="G27" s="35" t="n"/>
      <c r="H27" s="35" t="n"/>
      <c r="I27" s="35" t="n"/>
      <c r="K27" s="75" t="n"/>
    </row>
    <row r="28" ht="24" customHeight="1">
      <c r="A28" s="76" t="inlineStr">
        <is>
          <t>Produto</t>
        </is>
      </c>
      <c r="B28" s="76" t="inlineStr">
        <is>
          <t>Posição</t>
        </is>
      </c>
      <c r="C28" s="76" t="inlineStr">
        <is>
          <t>Código</t>
        </is>
      </c>
      <c r="D28" s="76" t="inlineStr">
        <is>
          <t>Total de entradas</t>
        </is>
      </c>
      <c r="E28" s="76" t="inlineStr">
        <is>
          <t>Total de saídas</t>
        </is>
      </c>
      <c r="F28" s="76" t="inlineStr">
        <is>
          <t>Quantidade total movimentada</t>
        </is>
      </c>
      <c r="K28" s="75" t="n"/>
      <c r="L28" s="74" t="inlineStr">
        <is>
          <t>C. Listas de opções (usadas nas validações)</t>
        </is>
      </c>
      <c r="M28" s="35" t="n"/>
      <c r="N28" s="35" t="n"/>
      <c r="O28" s="35" t="n"/>
      <c r="P28" s="35" t="n"/>
      <c r="Q28" s="35" t="n"/>
      <c r="R28" s="35" t="n"/>
      <c r="S28" s="35" t="n"/>
    </row>
    <row r="29" ht="30" customHeight="1">
      <c r="A29" s="83">
        <f>IF(C29="","",INDEX($B$42:$B$241,IFERROR(MATCH(LARGE($H$42:$H$241,1),$H$42:$H$241,0),0)))</f>
        <v/>
      </c>
      <c r="B29" s="82" t="n">
        <v>1</v>
      </c>
      <c r="C29" s="82">
        <f>IF(IFERROR(MATCH(LARGE($H$42:$H$241,1),$H$42:$H$241,0),0)=0,"",INDEX($A$42:$A$241,IFERROR(MATCH(LARGE($H$42:$H$241,1),$H$42:$H$241,0),0)))</f>
        <v/>
      </c>
      <c r="D29" s="80">
        <f>IF(C29="","",INDEX($D$42:$D$241,IFERROR(MATCH(LARGE($H$42:$H$241,1),$H$42:$H$241,0),0)))</f>
        <v/>
      </c>
      <c r="E29" s="80">
        <f>IF(C29="","",INDEX($E$42:$E$241,IFERROR(MATCH(LARGE($H$42:$H$241,1),$H$42:$H$241,0),0)))</f>
        <v/>
      </c>
      <c r="F29" s="80">
        <f>IF(C29="","",INDEX($F$42:$F$241,IFERROR(MATCH(LARGE($H$42:$H$241,1),$H$42:$H$241,0),0)))</f>
        <v/>
      </c>
      <c r="K29" s="75" t="n"/>
      <c r="L29" s="76" t="inlineStr">
        <is>
          <t>Categorias</t>
        </is>
      </c>
      <c r="O29" s="76" t="inlineStr">
        <is>
          <t>Tipos</t>
        </is>
      </c>
      <c r="P29" s="76" t="inlineStr">
        <is>
          <t>Responsáveis</t>
        </is>
      </c>
    </row>
    <row r="30">
      <c r="A30" s="83">
        <f>IF(C30="","",INDEX($B$42:$B$241,IFERROR(MATCH(LARGE($H$42:$H$241,2),$H$42:$H$241,0),0)))</f>
        <v/>
      </c>
      <c r="B30" s="82" t="n">
        <v>2</v>
      </c>
      <c r="C30" s="82">
        <f>IF(IFERROR(MATCH(LARGE($H$42:$H$241,2),$H$42:$H$241,0),0)=0,"",INDEX($A$42:$A$241,IFERROR(MATCH(LARGE($H$42:$H$241,2),$H$42:$H$241,0),0)))</f>
        <v/>
      </c>
      <c r="D30" s="80">
        <f>IF(C30="","",INDEX($D$42:$D$241,IFERROR(MATCH(LARGE($H$42:$H$241,2),$H$42:$H$241,0),0)))</f>
        <v/>
      </c>
      <c r="E30" s="80">
        <f>IF(C30="","",INDEX($E$42:$E$241,IFERROR(MATCH(LARGE($H$42:$H$241,2),$H$42:$H$241,0),0)))</f>
        <v/>
      </c>
      <c r="F30" s="80">
        <f>IF(C30="","",INDEX($F$42:$F$241,IFERROR(MATCH(LARGE($H$42:$H$241,2),$H$42:$H$241,0),0)))</f>
        <v/>
      </c>
      <c r="K30" s="75" t="n"/>
      <c r="L30" s="92" t="inlineStr">
        <is>
          <t>Fibra Óptica</t>
        </is>
      </c>
      <c r="M30" s="92" t="n"/>
      <c r="N30" s="92" t="n"/>
      <c r="O30" s="92" t="inlineStr">
        <is>
          <t>Entrada</t>
        </is>
      </c>
      <c r="P30" s="92" t="inlineStr">
        <is>
          <t>Elinaldo Oliveira</t>
        </is>
      </c>
    </row>
    <row r="31">
      <c r="A31" s="83">
        <f>IF(C31="","",INDEX($B$42:$B$241,IFERROR(MATCH(LARGE($H$42:$H$241,3),$H$42:$H$241,0),0)))</f>
        <v/>
      </c>
      <c r="B31" s="82" t="n">
        <v>3</v>
      </c>
      <c r="C31" s="82">
        <f>IF(IFERROR(MATCH(LARGE($H$42:$H$241,3),$H$42:$H$241,0),0)=0,"",INDEX($A$42:$A$241,IFERROR(MATCH(LARGE($H$42:$H$241,3),$H$42:$H$241,0),0)))</f>
        <v/>
      </c>
      <c r="D31" s="80">
        <f>IF(C31="","",INDEX($D$42:$D$241,IFERROR(MATCH(LARGE($H$42:$H$241,3),$H$42:$H$241,0),0)))</f>
        <v/>
      </c>
      <c r="E31" s="80">
        <f>IF(C31="","",INDEX($E$42:$E$241,IFERROR(MATCH(LARGE($H$42:$H$241,3),$H$42:$H$241,0),0)))</f>
        <v/>
      </c>
      <c r="F31" s="80">
        <f>IF(C31="","",INDEX($F$42:$F$241,IFERROR(MATCH(LARGE($H$42:$H$241,3),$H$42:$H$241,0),0)))</f>
        <v/>
      </c>
      <c r="K31" s="75" t="n"/>
      <c r="L31" s="92" t="inlineStr">
        <is>
          <t>Equipamentos de Rede</t>
        </is>
      </c>
      <c r="M31" s="92" t="n"/>
      <c r="N31" s="92" t="n"/>
      <c r="O31" s="92" t="inlineStr">
        <is>
          <t>Saída</t>
        </is>
      </c>
      <c r="P31" s="92" t="inlineStr">
        <is>
          <t>Bruno Estevam</t>
        </is>
      </c>
    </row>
    <row r="32">
      <c r="A32" s="83">
        <f>IF(C32="","",INDEX($B$42:$B$241,IFERROR(MATCH(LARGE($H$42:$H$241,4),$H$42:$H$241,0),0)))</f>
        <v/>
      </c>
      <c r="B32" s="82" t="n">
        <v>4</v>
      </c>
      <c r="C32" s="82">
        <f>IF(IFERROR(MATCH(LARGE($H$42:$H$241,4),$H$42:$H$241,0),0)=0,"",INDEX($A$42:$A$241,IFERROR(MATCH(LARGE($H$42:$H$241,4),$H$42:$H$241,0),0)))</f>
        <v/>
      </c>
      <c r="D32" s="80">
        <f>IF(C32="","",INDEX($D$42:$D$241,IFERROR(MATCH(LARGE($H$42:$H$241,4),$H$42:$H$241,0),0)))</f>
        <v/>
      </c>
      <c r="E32" s="80">
        <f>IF(C32="","",INDEX($E$42:$E$241,IFERROR(MATCH(LARGE($H$42:$H$241,4),$H$42:$H$241,0),0)))</f>
        <v/>
      </c>
      <c r="F32" s="80">
        <f>IF(C32="","",INDEX($F$42:$F$241,IFERROR(MATCH(LARGE($H$42:$H$241,4),$H$42:$H$241,0),0)))</f>
        <v/>
      </c>
      <c r="K32" s="75" t="n"/>
      <c r="L32" s="92" t="inlineStr">
        <is>
          <t>Ferramentas</t>
        </is>
      </c>
      <c r="M32" s="92" t="n"/>
      <c r="N32" s="92" t="n"/>
      <c r="O32" s="92" t="n"/>
      <c r="P32" s="92" t="inlineStr">
        <is>
          <t>Rosilene Barbosa</t>
        </is>
      </c>
    </row>
    <row r="33">
      <c r="A33" s="83">
        <f>IF(C33="","",INDEX($B$42:$B$241,IFERROR(MATCH(LARGE($H$42:$H$241,5),$H$42:$H$241,0),0)))</f>
        <v/>
      </c>
      <c r="B33" s="82" t="n">
        <v>5</v>
      </c>
      <c r="C33" s="82">
        <f>IF(IFERROR(MATCH(LARGE($H$42:$H$241,5),$H$42:$H$241,0),0)=0,"",INDEX($A$42:$A$241,IFERROR(MATCH(LARGE($H$42:$H$241,5),$H$42:$H$241,0),0)))</f>
        <v/>
      </c>
      <c r="D33" s="80">
        <f>IF(C33="","",INDEX($D$42:$D$241,IFERROR(MATCH(LARGE($H$42:$H$241,5),$H$42:$H$241,0),0)))</f>
        <v/>
      </c>
      <c r="E33" s="80">
        <f>IF(C33="","",INDEX($E$42:$E$241,IFERROR(MATCH(LARGE($H$42:$H$241,5),$H$42:$H$241,0),0)))</f>
        <v/>
      </c>
      <c r="F33" s="80">
        <f>IF(C33="","",INDEX($F$42:$F$241,IFERROR(MATCH(LARGE($H$42:$H$241,5),$H$42:$H$241,0),0)))</f>
        <v/>
      </c>
      <c r="K33" s="75" t="n"/>
      <c r="L33" s="92" t="inlineStr">
        <is>
          <t>Embalagem e Expedição</t>
        </is>
      </c>
      <c r="M33" s="92" t="n"/>
      <c r="N33" s="92" t="n"/>
      <c r="O33" s="92" t="n"/>
      <c r="P33" s="92" t="inlineStr">
        <is>
          <t>Wellington Farias</t>
        </is>
      </c>
    </row>
    <row r="34">
      <c r="A34" s="83">
        <f>IF(C34="","",INDEX($B$42:$B$241,IFERROR(MATCH(LARGE($H$42:$H$241,6),$H$42:$H$241,0),0)))</f>
        <v/>
      </c>
      <c r="B34" s="82" t="n">
        <v>6</v>
      </c>
      <c r="C34" s="82">
        <f>IF(IFERROR(MATCH(LARGE($H$42:$H$241,6),$H$42:$H$241,0),0)=0,"",INDEX($A$42:$A$241,IFERROR(MATCH(LARGE($H$42:$H$241,6),$H$42:$H$241,0),0)))</f>
        <v/>
      </c>
      <c r="D34" s="80">
        <f>IF(C34="","",INDEX($D$42:$D$241,IFERROR(MATCH(LARGE($H$42:$H$241,6),$H$42:$H$241,0),0)))</f>
        <v/>
      </c>
      <c r="E34" s="80">
        <f>IF(C34="","",INDEX($E$42:$E$241,IFERROR(MATCH(LARGE($H$42:$H$241,6),$H$42:$H$241,0),0)))</f>
        <v/>
      </c>
      <c r="F34" s="80">
        <f>IF(C34="","",INDEX($F$42:$F$241,IFERROR(MATCH(LARGE($H$42:$H$241,6),$H$42:$H$241,0),0)))</f>
        <v/>
      </c>
      <c r="K34" s="75" t="n"/>
      <c r="L34" s="92" t="inlineStr">
        <is>
          <t>EPI</t>
        </is>
      </c>
      <c r="M34" s="92" t="n"/>
      <c r="N34" s="92" t="n"/>
      <c r="O34" s="92" t="n"/>
      <c r="P34" s="92" t="inlineStr">
        <is>
          <t>Rodrigo Oliveira</t>
        </is>
      </c>
    </row>
    <row r="35">
      <c r="A35" s="83">
        <f>IF(C35="","",INDEX($B$42:$B$241,IFERROR(MATCH(LARGE($H$42:$H$241,7),$H$42:$H$241,0),0)))</f>
        <v/>
      </c>
      <c r="B35" s="82" t="n">
        <v>7</v>
      </c>
      <c r="C35" s="82">
        <f>IF(IFERROR(MATCH(LARGE($H$42:$H$241,7),$H$42:$H$241,0),0)=0,"",INDEX($A$42:$A$241,IFERROR(MATCH(LARGE($H$42:$H$241,7),$H$42:$H$241,0),0)))</f>
        <v/>
      </c>
      <c r="D35" s="80">
        <f>IF(C35="","",INDEX($D$42:$D$241,IFERROR(MATCH(LARGE($H$42:$H$241,7),$H$42:$H$241,0),0)))</f>
        <v/>
      </c>
      <c r="E35" s="80">
        <f>IF(C35="","",INDEX($E$42:$E$241,IFERROR(MATCH(LARGE($H$42:$H$241,7),$H$42:$H$241,0),0)))</f>
        <v/>
      </c>
      <c r="F35" s="80">
        <f>IF(C35="","",INDEX($F$42:$F$241,IFERROR(MATCH(LARGE($H$42:$H$241,7),$H$42:$H$241,0),0)))</f>
        <v/>
      </c>
      <c r="K35" s="75" t="n"/>
      <c r="L35" s="92" t="inlineStr">
        <is>
          <t>Materiais Elétricos</t>
        </is>
      </c>
      <c r="M35" s="92" t="n"/>
      <c r="N35" s="92" t="n"/>
      <c r="O35" s="92" t="n"/>
      <c r="P35" s="92" t="inlineStr">
        <is>
          <t>Eliane Cunha</t>
        </is>
      </c>
    </row>
    <row r="36">
      <c r="A36" s="83">
        <f>IF(C36="","",INDEX($B$42:$B$241,IFERROR(MATCH(LARGE($H$42:$H$241,8),$H$42:$H$241,0),0)))</f>
        <v/>
      </c>
      <c r="B36" s="82" t="n">
        <v>8</v>
      </c>
      <c r="C36" s="82">
        <f>IF(IFERROR(MATCH(LARGE($H$42:$H$241,8),$H$42:$H$241,0),0)=0,"",INDEX($A$42:$A$241,IFERROR(MATCH(LARGE($H$42:$H$241,8),$H$42:$H$241,0),0)))</f>
        <v/>
      </c>
      <c r="D36" s="80">
        <f>IF(C36="","",INDEX($D$42:$D$241,IFERROR(MATCH(LARGE($H$42:$H$241,8),$H$42:$H$241,0),0)))</f>
        <v/>
      </c>
      <c r="E36" s="80">
        <f>IF(C36="","",INDEX($E$42:$E$241,IFERROR(MATCH(LARGE($H$42:$H$241,8),$H$42:$H$241,0),0)))</f>
        <v/>
      </c>
      <c r="F36" s="80">
        <f>IF(C36="","",INDEX($F$42:$F$241,IFERROR(MATCH(LARGE($H$42:$H$241,8),$H$42:$H$241,0),0)))</f>
        <v/>
      </c>
      <c r="K36" s="75" t="n"/>
      <c r="L36" s="92" t="inlineStr">
        <is>
          <t>Escritório e Limpeza</t>
        </is>
      </c>
      <c r="M36" s="92" t="n"/>
      <c r="N36" s="92" t="n"/>
      <c r="O36" s="92" t="n"/>
      <c r="P36" s="92" t="n"/>
    </row>
    <row r="37">
      <c r="A37" s="83">
        <f>IF(C37="","",INDEX($B$42:$B$241,IFERROR(MATCH(LARGE($H$42:$H$241,9),$H$42:$H$241,0),0)))</f>
        <v/>
      </c>
      <c r="B37" s="82" t="n">
        <v>9</v>
      </c>
      <c r="C37" s="82">
        <f>IF(IFERROR(MATCH(LARGE($H$42:$H$241,9),$H$42:$H$241,0),0)=0,"",INDEX($A$42:$A$241,IFERROR(MATCH(LARGE($H$42:$H$241,9),$H$42:$H$241,0),0)))</f>
        <v/>
      </c>
      <c r="D37" s="80">
        <f>IF(C37="","",INDEX($D$42:$D$241,IFERROR(MATCH(LARGE($H$42:$H$241,9),$H$42:$H$241,0),0)))</f>
        <v/>
      </c>
      <c r="E37" s="80">
        <f>IF(C37="","",INDEX($E$42:$E$241,IFERROR(MATCH(LARGE($H$42:$H$241,9),$H$42:$H$241,0),0)))</f>
        <v/>
      </c>
      <c r="F37" s="80">
        <f>IF(C37="","",INDEX($F$42:$F$241,IFERROR(MATCH(LARGE($H$42:$H$241,9),$H$42:$H$241,0),0)))</f>
        <v/>
      </c>
      <c r="K37" s="75" t="n"/>
    </row>
    <row r="38">
      <c r="A38" s="83">
        <f>IF(C38="","",INDEX($B$42:$B$241,IFERROR(MATCH(LARGE($H$42:$H$241,10),$H$42:$H$241,0),0)))</f>
        <v/>
      </c>
      <c r="B38" s="82" t="n">
        <v>10</v>
      </c>
      <c r="C38" s="82">
        <f>IF(IFERROR(MATCH(LARGE($H$42:$H$241,10),$H$42:$H$241,0),0)=0,"",INDEX($A$42:$A$241,IFERROR(MATCH(LARGE($H$42:$H$241,10),$H$42:$H$241,0),0)))</f>
        <v/>
      </c>
      <c r="D38" s="80">
        <f>IF(C38="","",INDEX($D$42:$D$241,IFERROR(MATCH(LARGE($H$42:$H$241,10),$H$42:$H$241,0),0)))</f>
        <v/>
      </c>
      <c r="E38" s="80">
        <f>IF(C38="","",INDEX($E$42:$E$241,IFERROR(MATCH(LARGE($H$42:$H$241,10),$H$42:$H$241,0),0)))</f>
        <v/>
      </c>
      <c r="F38" s="80">
        <f>IF(C38="","",INDEX($F$42:$F$241,IFERROR(MATCH(LARGE($H$42:$H$241,10),$H$42:$H$241,0),0)))</f>
        <v/>
      </c>
      <c r="K38" s="75" t="n"/>
    </row>
    <row r="39">
      <c r="K39" s="75" t="n"/>
    </row>
    <row r="40" ht="24" customHeight="1">
      <c r="A40" s="74" t="inlineStr">
        <is>
          <t>4. Movimentação por produto  (use o filtro para ordenar; a coluna Ranking indica os mais movimentados)</t>
        </is>
      </c>
      <c r="B40" s="35" t="n"/>
      <c r="C40" s="35" t="n"/>
      <c r="D40" s="35" t="n"/>
      <c r="E40" s="35" t="n"/>
      <c r="F40" s="35" t="n"/>
      <c r="G40" s="35" t="n"/>
      <c r="H40" s="35" t="n"/>
      <c r="I40" s="35" t="n"/>
    </row>
    <row r="41" ht="30" customHeight="1">
      <c r="A41" s="76" t="inlineStr">
        <is>
          <t>Código</t>
        </is>
      </c>
      <c r="B41" s="76" t="inlineStr">
        <is>
          <t>Produto</t>
        </is>
      </c>
      <c r="C41" s="76" t="inlineStr">
        <is>
          <t>Categoria</t>
        </is>
      </c>
      <c r="D41" s="76" t="inlineStr">
        <is>
          <t>Total de entradas</t>
        </is>
      </c>
      <c r="E41" s="76" t="inlineStr">
        <is>
          <t>Total de saídas</t>
        </is>
      </c>
      <c r="F41" s="76" t="inlineStr">
        <is>
          <t>Quantidade total movimentada</t>
        </is>
      </c>
      <c r="G41" s="76" t="inlineStr">
        <is>
          <t>Ranking</t>
        </is>
      </c>
      <c r="H41" s="76" t="inlineStr">
        <is>
          <t>Chave (auxiliar)</t>
        </is>
      </c>
    </row>
    <row r="42">
      <c r="A42" s="82">
        <f>IF('Estoque'!A5="","",'Estoque'!A5)</f>
        <v/>
      </c>
      <c r="B42" s="83">
        <f>IF(A42="","",'Estoque'!B5)</f>
        <v/>
      </c>
      <c r="C42" s="83">
        <f>IF(A42="","",'Estoque'!C5)</f>
        <v/>
      </c>
      <c r="D42" s="80">
        <f>IF(A42="","",'Estoque'!E5)</f>
        <v/>
      </c>
      <c r="E42" s="80">
        <f>IF(A42="","",'Estoque'!F5)</f>
        <v/>
      </c>
      <c r="F42" s="80">
        <f>IF(A42="","",D42+E42)</f>
        <v/>
      </c>
      <c r="G42" s="93">
        <f>IF(A42="","",RANK(F42,$F$42:$F$241))</f>
        <v/>
      </c>
      <c r="H42" s="94">
        <f>IF(A42="","",F42-ROW()/1000000)</f>
        <v/>
      </c>
    </row>
    <row r="43">
      <c r="A43" s="82">
        <f>IF('Estoque'!A6="","",'Estoque'!A6)</f>
        <v/>
      </c>
      <c r="B43" s="83">
        <f>IF(A43="","",'Estoque'!B6)</f>
        <v/>
      </c>
      <c r="C43" s="83">
        <f>IF(A43="","",'Estoque'!C6)</f>
        <v/>
      </c>
      <c r="D43" s="80">
        <f>IF(A43="","",'Estoque'!E6)</f>
        <v/>
      </c>
      <c r="E43" s="80">
        <f>IF(A43="","",'Estoque'!F6)</f>
        <v/>
      </c>
      <c r="F43" s="80">
        <f>IF(A43="","",D43+E43)</f>
        <v/>
      </c>
      <c r="G43" s="93">
        <f>IF(A43="","",RANK(F43,$F$42:$F$241))</f>
        <v/>
      </c>
      <c r="H43" s="94">
        <f>IF(A43="","",F43-ROW()/1000000)</f>
        <v/>
      </c>
    </row>
    <row r="44">
      <c r="A44" s="82">
        <f>IF('Estoque'!A7="","",'Estoque'!A7)</f>
        <v/>
      </c>
      <c r="B44" s="83">
        <f>IF(A44="","",'Estoque'!B7)</f>
        <v/>
      </c>
      <c r="C44" s="83">
        <f>IF(A44="","",'Estoque'!C7)</f>
        <v/>
      </c>
      <c r="D44" s="80">
        <f>IF(A44="","",'Estoque'!E7)</f>
        <v/>
      </c>
      <c r="E44" s="80">
        <f>IF(A44="","",'Estoque'!F7)</f>
        <v/>
      </c>
      <c r="F44" s="80">
        <f>IF(A44="","",D44+E44)</f>
        <v/>
      </c>
      <c r="G44" s="93">
        <f>IF(A44="","",RANK(F44,$F$42:$F$241))</f>
        <v/>
      </c>
      <c r="H44" s="94">
        <f>IF(A44="","",F44-ROW()/1000000)</f>
        <v/>
      </c>
    </row>
    <row r="45">
      <c r="A45" s="82">
        <f>IF('Estoque'!A8="","",'Estoque'!A8)</f>
        <v/>
      </c>
      <c r="B45" s="83">
        <f>IF(A45="","",'Estoque'!B8)</f>
        <v/>
      </c>
      <c r="C45" s="83">
        <f>IF(A45="","",'Estoque'!C8)</f>
        <v/>
      </c>
      <c r="D45" s="80">
        <f>IF(A45="","",'Estoque'!E8)</f>
        <v/>
      </c>
      <c r="E45" s="80">
        <f>IF(A45="","",'Estoque'!F8)</f>
        <v/>
      </c>
      <c r="F45" s="80">
        <f>IF(A45="","",D45+E45)</f>
        <v/>
      </c>
      <c r="G45" s="93">
        <f>IF(A45="","",RANK(F45,$F$42:$F$241))</f>
        <v/>
      </c>
      <c r="H45" s="94">
        <f>IF(A45="","",F45-ROW()/1000000)</f>
        <v/>
      </c>
    </row>
    <row r="46">
      <c r="A46" s="82">
        <f>IF('Estoque'!A9="","",'Estoque'!A9)</f>
        <v/>
      </c>
      <c r="B46" s="83">
        <f>IF(A46="","",'Estoque'!B9)</f>
        <v/>
      </c>
      <c r="C46" s="83">
        <f>IF(A46="","",'Estoque'!C9)</f>
        <v/>
      </c>
      <c r="D46" s="80">
        <f>IF(A46="","",'Estoque'!E9)</f>
        <v/>
      </c>
      <c r="E46" s="80">
        <f>IF(A46="","",'Estoque'!F9)</f>
        <v/>
      </c>
      <c r="F46" s="80">
        <f>IF(A46="","",D46+E46)</f>
        <v/>
      </c>
      <c r="G46" s="93">
        <f>IF(A46="","",RANK(F46,$F$42:$F$241))</f>
        <v/>
      </c>
      <c r="H46" s="94">
        <f>IF(A46="","",F46-ROW()/1000000)</f>
        <v/>
      </c>
    </row>
    <row r="47">
      <c r="A47" s="82">
        <f>IF('Estoque'!A10="","",'Estoque'!A10)</f>
        <v/>
      </c>
      <c r="B47" s="83">
        <f>IF(A47="","",'Estoque'!B10)</f>
        <v/>
      </c>
      <c r="C47" s="83">
        <f>IF(A47="","",'Estoque'!C10)</f>
        <v/>
      </c>
      <c r="D47" s="80">
        <f>IF(A47="","",'Estoque'!E10)</f>
        <v/>
      </c>
      <c r="E47" s="80">
        <f>IF(A47="","",'Estoque'!F10)</f>
        <v/>
      </c>
      <c r="F47" s="80">
        <f>IF(A47="","",D47+E47)</f>
        <v/>
      </c>
      <c r="G47" s="93">
        <f>IF(A47="","",RANK(F47,$F$42:$F$241))</f>
        <v/>
      </c>
      <c r="H47" s="94">
        <f>IF(A47="","",F47-ROW()/1000000)</f>
        <v/>
      </c>
    </row>
    <row r="48">
      <c r="A48" s="82">
        <f>IF('Estoque'!A11="","",'Estoque'!A11)</f>
        <v/>
      </c>
      <c r="B48" s="83">
        <f>IF(A48="","",'Estoque'!B11)</f>
        <v/>
      </c>
      <c r="C48" s="83">
        <f>IF(A48="","",'Estoque'!C11)</f>
        <v/>
      </c>
      <c r="D48" s="80">
        <f>IF(A48="","",'Estoque'!E11)</f>
        <v/>
      </c>
      <c r="E48" s="80">
        <f>IF(A48="","",'Estoque'!F11)</f>
        <v/>
      </c>
      <c r="F48" s="80">
        <f>IF(A48="","",D48+E48)</f>
        <v/>
      </c>
      <c r="G48" s="93">
        <f>IF(A48="","",RANK(F48,$F$42:$F$241))</f>
        <v/>
      </c>
      <c r="H48" s="94">
        <f>IF(A48="","",F48-ROW()/1000000)</f>
        <v/>
      </c>
    </row>
    <row r="49">
      <c r="A49" s="82">
        <f>IF('Estoque'!A12="","",'Estoque'!A12)</f>
        <v/>
      </c>
      <c r="B49" s="83">
        <f>IF(A49="","",'Estoque'!B12)</f>
        <v/>
      </c>
      <c r="C49" s="83">
        <f>IF(A49="","",'Estoque'!C12)</f>
        <v/>
      </c>
      <c r="D49" s="80">
        <f>IF(A49="","",'Estoque'!E12)</f>
        <v/>
      </c>
      <c r="E49" s="80">
        <f>IF(A49="","",'Estoque'!F12)</f>
        <v/>
      </c>
      <c r="F49" s="80">
        <f>IF(A49="","",D49+E49)</f>
        <v/>
      </c>
      <c r="G49" s="93">
        <f>IF(A49="","",RANK(F49,$F$42:$F$241))</f>
        <v/>
      </c>
      <c r="H49" s="94">
        <f>IF(A49="","",F49-ROW()/1000000)</f>
        <v/>
      </c>
    </row>
    <row r="50">
      <c r="A50" s="82">
        <f>IF('Estoque'!A13="","",'Estoque'!A13)</f>
        <v/>
      </c>
      <c r="B50" s="83">
        <f>IF(A50="","",'Estoque'!B13)</f>
        <v/>
      </c>
      <c r="C50" s="83">
        <f>IF(A50="","",'Estoque'!C13)</f>
        <v/>
      </c>
      <c r="D50" s="80">
        <f>IF(A50="","",'Estoque'!E13)</f>
        <v/>
      </c>
      <c r="E50" s="80">
        <f>IF(A50="","",'Estoque'!F13)</f>
        <v/>
      </c>
      <c r="F50" s="80">
        <f>IF(A50="","",D50+E50)</f>
        <v/>
      </c>
      <c r="G50" s="93">
        <f>IF(A50="","",RANK(F50,$F$42:$F$241))</f>
        <v/>
      </c>
      <c r="H50" s="94">
        <f>IF(A50="","",F50-ROW()/1000000)</f>
        <v/>
      </c>
    </row>
    <row r="51">
      <c r="A51" s="82">
        <f>IF('Estoque'!A14="","",'Estoque'!A14)</f>
        <v/>
      </c>
      <c r="B51" s="83">
        <f>IF(A51="","",'Estoque'!B14)</f>
        <v/>
      </c>
      <c r="C51" s="83">
        <f>IF(A51="","",'Estoque'!C14)</f>
        <v/>
      </c>
      <c r="D51" s="80">
        <f>IF(A51="","",'Estoque'!E14)</f>
        <v/>
      </c>
      <c r="E51" s="80">
        <f>IF(A51="","",'Estoque'!F14)</f>
        <v/>
      </c>
      <c r="F51" s="80">
        <f>IF(A51="","",D51+E51)</f>
        <v/>
      </c>
      <c r="G51" s="93">
        <f>IF(A51="","",RANK(F51,$F$42:$F$241))</f>
        <v/>
      </c>
      <c r="H51" s="94">
        <f>IF(A51="","",F51-ROW()/1000000)</f>
        <v/>
      </c>
    </row>
    <row r="52">
      <c r="A52" s="82">
        <f>IF('Estoque'!A15="","",'Estoque'!A15)</f>
        <v/>
      </c>
      <c r="B52" s="83">
        <f>IF(A52="","",'Estoque'!B15)</f>
        <v/>
      </c>
      <c r="C52" s="83">
        <f>IF(A52="","",'Estoque'!C15)</f>
        <v/>
      </c>
      <c r="D52" s="80">
        <f>IF(A52="","",'Estoque'!E15)</f>
        <v/>
      </c>
      <c r="E52" s="80">
        <f>IF(A52="","",'Estoque'!F15)</f>
        <v/>
      </c>
      <c r="F52" s="80">
        <f>IF(A52="","",D52+E52)</f>
        <v/>
      </c>
      <c r="G52" s="93">
        <f>IF(A52="","",RANK(F52,$F$42:$F$241))</f>
        <v/>
      </c>
      <c r="H52" s="94">
        <f>IF(A52="","",F52-ROW()/1000000)</f>
        <v/>
      </c>
    </row>
    <row r="53">
      <c r="A53" s="82">
        <f>IF('Estoque'!A16="","",'Estoque'!A16)</f>
        <v/>
      </c>
      <c r="B53" s="83">
        <f>IF(A53="","",'Estoque'!B16)</f>
        <v/>
      </c>
      <c r="C53" s="83">
        <f>IF(A53="","",'Estoque'!C16)</f>
        <v/>
      </c>
      <c r="D53" s="80">
        <f>IF(A53="","",'Estoque'!E16)</f>
        <v/>
      </c>
      <c r="E53" s="80">
        <f>IF(A53="","",'Estoque'!F16)</f>
        <v/>
      </c>
      <c r="F53" s="80">
        <f>IF(A53="","",D53+E53)</f>
        <v/>
      </c>
      <c r="G53" s="93">
        <f>IF(A53="","",RANK(F53,$F$42:$F$241))</f>
        <v/>
      </c>
      <c r="H53" s="94">
        <f>IF(A53="","",F53-ROW()/1000000)</f>
        <v/>
      </c>
    </row>
    <row r="54">
      <c r="A54" s="82">
        <f>IF('Estoque'!A17="","",'Estoque'!A17)</f>
        <v/>
      </c>
      <c r="B54" s="83">
        <f>IF(A54="","",'Estoque'!B17)</f>
        <v/>
      </c>
      <c r="C54" s="83">
        <f>IF(A54="","",'Estoque'!C17)</f>
        <v/>
      </c>
      <c r="D54" s="80">
        <f>IF(A54="","",'Estoque'!E17)</f>
        <v/>
      </c>
      <c r="E54" s="80">
        <f>IF(A54="","",'Estoque'!F17)</f>
        <v/>
      </c>
      <c r="F54" s="80">
        <f>IF(A54="","",D54+E54)</f>
        <v/>
      </c>
      <c r="G54" s="93">
        <f>IF(A54="","",RANK(F54,$F$42:$F$241))</f>
        <v/>
      </c>
      <c r="H54" s="94">
        <f>IF(A54="","",F54-ROW()/1000000)</f>
        <v/>
      </c>
    </row>
    <row r="55">
      <c r="A55" s="82">
        <f>IF('Estoque'!A18="","",'Estoque'!A18)</f>
        <v/>
      </c>
      <c r="B55" s="83">
        <f>IF(A55="","",'Estoque'!B18)</f>
        <v/>
      </c>
      <c r="C55" s="83">
        <f>IF(A55="","",'Estoque'!C18)</f>
        <v/>
      </c>
      <c r="D55" s="80">
        <f>IF(A55="","",'Estoque'!E18)</f>
        <v/>
      </c>
      <c r="E55" s="80">
        <f>IF(A55="","",'Estoque'!F18)</f>
        <v/>
      </c>
      <c r="F55" s="80">
        <f>IF(A55="","",D55+E55)</f>
        <v/>
      </c>
      <c r="G55" s="93">
        <f>IF(A55="","",RANK(F55,$F$42:$F$241))</f>
        <v/>
      </c>
      <c r="H55" s="94">
        <f>IF(A55="","",F55-ROW()/1000000)</f>
        <v/>
      </c>
    </row>
    <row r="56">
      <c r="A56" s="82">
        <f>IF('Estoque'!A19="","",'Estoque'!A19)</f>
        <v/>
      </c>
      <c r="B56" s="83">
        <f>IF(A56="","",'Estoque'!B19)</f>
        <v/>
      </c>
      <c r="C56" s="83">
        <f>IF(A56="","",'Estoque'!C19)</f>
        <v/>
      </c>
      <c r="D56" s="80">
        <f>IF(A56="","",'Estoque'!E19)</f>
        <v/>
      </c>
      <c r="E56" s="80">
        <f>IF(A56="","",'Estoque'!F19)</f>
        <v/>
      </c>
      <c r="F56" s="80">
        <f>IF(A56="","",D56+E56)</f>
        <v/>
      </c>
      <c r="G56" s="93">
        <f>IF(A56="","",RANK(F56,$F$42:$F$241))</f>
        <v/>
      </c>
      <c r="H56" s="94">
        <f>IF(A56="","",F56-ROW()/1000000)</f>
        <v/>
      </c>
    </row>
    <row r="57">
      <c r="A57" s="82">
        <f>IF('Estoque'!A20="","",'Estoque'!A20)</f>
        <v/>
      </c>
      <c r="B57" s="83">
        <f>IF(A57="","",'Estoque'!B20)</f>
        <v/>
      </c>
      <c r="C57" s="83">
        <f>IF(A57="","",'Estoque'!C20)</f>
        <v/>
      </c>
      <c r="D57" s="80">
        <f>IF(A57="","",'Estoque'!E20)</f>
        <v/>
      </c>
      <c r="E57" s="80">
        <f>IF(A57="","",'Estoque'!F20)</f>
        <v/>
      </c>
      <c r="F57" s="80">
        <f>IF(A57="","",D57+E57)</f>
        <v/>
      </c>
      <c r="G57" s="93">
        <f>IF(A57="","",RANK(F57,$F$42:$F$241))</f>
        <v/>
      </c>
      <c r="H57" s="94">
        <f>IF(A57="","",F57-ROW()/1000000)</f>
        <v/>
      </c>
    </row>
    <row r="58">
      <c r="A58" s="82">
        <f>IF('Estoque'!A21="","",'Estoque'!A21)</f>
        <v/>
      </c>
      <c r="B58" s="83">
        <f>IF(A58="","",'Estoque'!B21)</f>
        <v/>
      </c>
      <c r="C58" s="83">
        <f>IF(A58="","",'Estoque'!C21)</f>
        <v/>
      </c>
      <c r="D58" s="80">
        <f>IF(A58="","",'Estoque'!E21)</f>
        <v/>
      </c>
      <c r="E58" s="80">
        <f>IF(A58="","",'Estoque'!F21)</f>
        <v/>
      </c>
      <c r="F58" s="80">
        <f>IF(A58="","",D58+E58)</f>
        <v/>
      </c>
      <c r="G58" s="93">
        <f>IF(A58="","",RANK(F58,$F$42:$F$241))</f>
        <v/>
      </c>
      <c r="H58" s="94">
        <f>IF(A58="","",F58-ROW()/1000000)</f>
        <v/>
      </c>
    </row>
    <row r="59">
      <c r="A59" s="82">
        <f>IF('Estoque'!A22="","",'Estoque'!A22)</f>
        <v/>
      </c>
      <c r="B59" s="83">
        <f>IF(A59="","",'Estoque'!B22)</f>
        <v/>
      </c>
      <c r="C59" s="83">
        <f>IF(A59="","",'Estoque'!C22)</f>
        <v/>
      </c>
      <c r="D59" s="80">
        <f>IF(A59="","",'Estoque'!E22)</f>
        <v/>
      </c>
      <c r="E59" s="80">
        <f>IF(A59="","",'Estoque'!F22)</f>
        <v/>
      </c>
      <c r="F59" s="80">
        <f>IF(A59="","",D59+E59)</f>
        <v/>
      </c>
      <c r="G59" s="93">
        <f>IF(A59="","",RANK(F59,$F$42:$F$241))</f>
        <v/>
      </c>
      <c r="H59" s="94">
        <f>IF(A59="","",F59-ROW()/1000000)</f>
        <v/>
      </c>
    </row>
    <row r="60">
      <c r="A60" s="82">
        <f>IF('Estoque'!A23="","",'Estoque'!A23)</f>
        <v/>
      </c>
      <c r="B60" s="83">
        <f>IF(A60="","",'Estoque'!B23)</f>
        <v/>
      </c>
      <c r="C60" s="83">
        <f>IF(A60="","",'Estoque'!C23)</f>
        <v/>
      </c>
      <c r="D60" s="80">
        <f>IF(A60="","",'Estoque'!E23)</f>
        <v/>
      </c>
      <c r="E60" s="80">
        <f>IF(A60="","",'Estoque'!F23)</f>
        <v/>
      </c>
      <c r="F60" s="80">
        <f>IF(A60="","",D60+E60)</f>
        <v/>
      </c>
      <c r="G60" s="93">
        <f>IF(A60="","",RANK(F60,$F$42:$F$241))</f>
        <v/>
      </c>
      <c r="H60" s="94">
        <f>IF(A60="","",F60-ROW()/1000000)</f>
        <v/>
      </c>
    </row>
    <row r="61">
      <c r="A61" s="82">
        <f>IF('Estoque'!A24="","",'Estoque'!A24)</f>
        <v/>
      </c>
      <c r="B61" s="83">
        <f>IF(A61="","",'Estoque'!B24)</f>
        <v/>
      </c>
      <c r="C61" s="83">
        <f>IF(A61="","",'Estoque'!C24)</f>
        <v/>
      </c>
      <c r="D61" s="80">
        <f>IF(A61="","",'Estoque'!E24)</f>
        <v/>
      </c>
      <c r="E61" s="80">
        <f>IF(A61="","",'Estoque'!F24)</f>
        <v/>
      </c>
      <c r="F61" s="80">
        <f>IF(A61="","",D61+E61)</f>
        <v/>
      </c>
      <c r="G61" s="93">
        <f>IF(A61="","",RANK(F61,$F$42:$F$241))</f>
        <v/>
      </c>
      <c r="H61" s="94">
        <f>IF(A61="","",F61-ROW()/1000000)</f>
        <v/>
      </c>
    </row>
    <row r="62">
      <c r="A62" s="82">
        <f>IF('Estoque'!A25="","",'Estoque'!A25)</f>
        <v/>
      </c>
      <c r="B62" s="83">
        <f>IF(A62="","",'Estoque'!B25)</f>
        <v/>
      </c>
      <c r="C62" s="83">
        <f>IF(A62="","",'Estoque'!C25)</f>
        <v/>
      </c>
      <c r="D62" s="80">
        <f>IF(A62="","",'Estoque'!E25)</f>
        <v/>
      </c>
      <c r="E62" s="80">
        <f>IF(A62="","",'Estoque'!F25)</f>
        <v/>
      </c>
      <c r="F62" s="80">
        <f>IF(A62="","",D62+E62)</f>
        <v/>
      </c>
      <c r="G62" s="93">
        <f>IF(A62="","",RANK(F62,$F$42:$F$241))</f>
        <v/>
      </c>
      <c r="H62" s="94">
        <f>IF(A62="","",F62-ROW()/1000000)</f>
        <v/>
      </c>
    </row>
    <row r="63">
      <c r="A63" s="82">
        <f>IF('Estoque'!A26="","",'Estoque'!A26)</f>
        <v/>
      </c>
      <c r="B63" s="83">
        <f>IF(A63="","",'Estoque'!B26)</f>
        <v/>
      </c>
      <c r="C63" s="83">
        <f>IF(A63="","",'Estoque'!C26)</f>
        <v/>
      </c>
      <c r="D63" s="80">
        <f>IF(A63="","",'Estoque'!E26)</f>
        <v/>
      </c>
      <c r="E63" s="80">
        <f>IF(A63="","",'Estoque'!F26)</f>
        <v/>
      </c>
      <c r="F63" s="80">
        <f>IF(A63="","",D63+E63)</f>
        <v/>
      </c>
      <c r="G63" s="93">
        <f>IF(A63="","",RANK(F63,$F$42:$F$241))</f>
        <v/>
      </c>
      <c r="H63" s="94">
        <f>IF(A63="","",F63-ROW()/1000000)</f>
        <v/>
      </c>
    </row>
    <row r="64">
      <c r="A64" s="82">
        <f>IF('Estoque'!A27="","",'Estoque'!A27)</f>
        <v/>
      </c>
      <c r="B64" s="83">
        <f>IF(A64="","",'Estoque'!B27)</f>
        <v/>
      </c>
      <c r="C64" s="83">
        <f>IF(A64="","",'Estoque'!C27)</f>
        <v/>
      </c>
      <c r="D64" s="80">
        <f>IF(A64="","",'Estoque'!E27)</f>
        <v/>
      </c>
      <c r="E64" s="80">
        <f>IF(A64="","",'Estoque'!F27)</f>
        <v/>
      </c>
      <c r="F64" s="80">
        <f>IF(A64="","",D64+E64)</f>
        <v/>
      </c>
      <c r="G64" s="93">
        <f>IF(A64="","",RANK(F64,$F$42:$F$241))</f>
        <v/>
      </c>
      <c r="H64" s="94">
        <f>IF(A64="","",F64-ROW()/1000000)</f>
        <v/>
      </c>
    </row>
    <row r="65">
      <c r="A65" s="82">
        <f>IF('Estoque'!A28="","",'Estoque'!A28)</f>
        <v/>
      </c>
      <c r="B65" s="83">
        <f>IF(A65="","",'Estoque'!B28)</f>
        <v/>
      </c>
      <c r="C65" s="83">
        <f>IF(A65="","",'Estoque'!C28)</f>
        <v/>
      </c>
      <c r="D65" s="80">
        <f>IF(A65="","",'Estoque'!E28)</f>
        <v/>
      </c>
      <c r="E65" s="80">
        <f>IF(A65="","",'Estoque'!F28)</f>
        <v/>
      </c>
      <c r="F65" s="80">
        <f>IF(A65="","",D65+E65)</f>
        <v/>
      </c>
      <c r="G65" s="93">
        <f>IF(A65="","",RANK(F65,$F$42:$F$241))</f>
        <v/>
      </c>
      <c r="H65" s="94">
        <f>IF(A65="","",F65-ROW()/1000000)</f>
        <v/>
      </c>
    </row>
    <row r="66">
      <c r="A66" s="82">
        <f>IF('Estoque'!A29="","",'Estoque'!A29)</f>
        <v/>
      </c>
      <c r="B66" s="83">
        <f>IF(A66="","",'Estoque'!B29)</f>
        <v/>
      </c>
      <c r="C66" s="83">
        <f>IF(A66="","",'Estoque'!C29)</f>
        <v/>
      </c>
      <c r="D66" s="80">
        <f>IF(A66="","",'Estoque'!E29)</f>
        <v/>
      </c>
      <c r="E66" s="80">
        <f>IF(A66="","",'Estoque'!F29)</f>
        <v/>
      </c>
      <c r="F66" s="80">
        <f>IF(A66="","",D66+E66)</f>
        <v/>
      </c>
      <c r="G66" s="93">
        <f>IF(A66="","",RANK(F66,$F$42:$F$241))</f>
        <v/>
      </c>
      <c r="H66" s="94">
        <f>IF(A66="","",F66-ROW()/1000000)</f>
        <v/>
      </c>
    </row>
    <row r="67">
      <c r="A67" s="82">
        <f>IF('Estoque'!A30="","",'Estoque'!A30)</f>
        <v/>
      </c>
      <c r="B67" s="83">
        <f>IF(A67="","",'Estoque'!B30)</f>
        <v/>
      </c>
      <c r="C67" s="83">
        <f>IF(A67="","",'Estoque'!C30)</f>
        <v/>
      </c>
      <c r="D67" s="80">
        <f>IF(A67="","",'Estoque'!E30)</f>
        <v/>
      </c>
      <c r="E67" s="80">
        <f>IF(A67="","",'Estoque'!F30)</f>
        <v/>
      </c>
      <c r="F67" s="80">
        <f>IF(A67="","",D67+E67)</f>
        <v/>
      </c>
      <c r="G67" s="93">
        <f>IF(A67="","",RANK(F67,$F$42:$F$241))</f>
        <v/>
      </c>
      <c r="H67" s="94">
        <f>IF(A67="","",F67-ROW()/1000000)</f>
        <v/>
      </c>
    </row>
    <row r="68">
      <c r="A68" s="82">
        <f>IF('Estoque'!A31="","",'Estoque'!A31)</f>
        <v/>
      </c>
      <c r="B68" s="83">
        <f>IF(A68="","",'Estoque'!B31)</f>
        <v/>
      </c>
      <c r="C68" s="83">
        <f>IF(A68="","",'Estoque'!C31)</f>
        <v/>
      </c>
      <c r="D68" s="80">
        <f>IF(A68="","",'Estoque'!E31)</f>
        <v/>
      </c>
      <c r="E68" s="80">
        <f>IF(A68="","",'Estoque'!F31)</f>
        <v/>
      </c>
      <c r="F68" s="80">
        <f>IF(A68="","",D68+E68)</f>
        <v/>
      </c>
      <c r="G68" s="93">
        <f>IF(A68="","",RANK(F68,$F$42:$F$241))</f>
        <v/>
      </c>
      <c r="H68" s="94">
        <f>IF(A68="","",F68-ROW()/1000000)</f>
        <v/>
      </c>
    </row>
    <row r="69">
      <c r="A69" s="82">
        <f>IF('Estoque'!A32="","",'Estoque'!A32)</f>
        <v/>
      </c>
      <c r="B69" s="83">
        <f>IF(A69="","",'Estoque'!B32)</f>
        <v/>
      </c>
      <c r="C69" s="83">
        <f>IF(A69="","",'Estoque'!C32)</f>
        <v/>
      </c>
      <c r="D69" s="80">
        <f>IF(A69="","",'Estoque'!E32)</f>
        <v/>
      </c>
      <c r="E69" s="80">
        <f>IF(A69="","",'Estoque'!F32)</f>
        <v/>
      </c>
      <c r="F69" s="80">
        <f>IF(A69="","",D69+E69)</f>
        <v/>
      </c>
      <c r="G69" s="93">
        <f>IF(A69="","",RANK(F69,$F$42:$F$241))</f>
        <v/>
      </c>
      <c r="H69" s="94">
        <f>IF(A69="","",F69-ROW()/1000000)</f>
        <v/>
      </c>
    </row>
    <row r="70">
      <c r="A70" s="82">
        <f>IF('Estoque'!A33="","",'Estoque'!A33)</f>
        <v/>
      </c>
      <c r="B70" s="83">
        <f>IF(A70="","",'Estoque'!B33)</f>
        <v/>
      </c>
      <c r="C70" s="83">
        <f>IF(A70="","",'Estoque'!C33)</f>
        <v/>
      </c>
      <c r="D70" s="80">
        <f>IF(A70="","",'Estoque'!E33)</f>
        <v/>
      </c>
      <c r="E70" s="80">
        <f>IF(A70="","",'Estoque'!F33)</f>
        <v/>
      </c>
      <c r="F70" s="80">
        <f>IF(A70="","",D70+E70)</f>
        <v/>
      </c>
      <c r="G70" s="93">
        <f>IF(A70="","",RANK(F70,$F$42:$F$241))</f>
        <v/>
      </c>
      <c r="H70" s="94">
        <f>IF(A70="","",F70-ROW()/1000000)</f>
        <v/>
      </c>
    </row>
    <row r="71">
      <c r="A71" s="82">
        <f>IF('Estoque'!A34="","",'Estoque'!A34)</f>
        <v/>
      </c>
      <c r="B71" s="83">
        <f>IF(A71="","",'Estoque'!B34)</f>
        <v/>
      </c>
      <c r="C71" s="83">
        <f>IF(A71="","",'Estoque'!C34)</f>
        <v/>
      </c>
      <c r="D71" s="80">
        <f>IF(A71="","",'Estoque'!E34)</f>
        <v/>
      </c>
      <c r="E71" s="80">
        <f>IF(A71="","",'Estoque'!F34)</f>
        <v/>
      </c>
      <c r="F71" s="80">
        <f>IF(A71="","",D71+E71)</f>
        <v/>
      </c>
      <c r="G71" s="93">
        <f>IF(A71="","",RANK(F71,$F$42:$F$241))</f>
        <v/>
      </c>
      <c r="H71" s="94">
        <f>IF(A71="","",F71-ROW()/1000000)</f>
        <v/>
      </c>
    </row>
    <row r="72">
      <c r="A72" s="82">
        <f>IF('Estoque'!A35="","",'Estoque'!A35)</f>
        <v/>
      </c>
      <c r="B72" s="83">
        <f>IF(A72="","",'Estoque'!B35)</f>
        <v/>
      </c>
      <c r="C72" s="83">
        <f>IF(A72="","",'Estoque'!C35)</f>
        <v/>
      </c>
      <c r="D72" s="80">
        <f>IF(A72="","",'Estoque'!E35)</f>
        <v/>
      </c>
      <c r="E72" s="80">
        <f>IF(A72="","",'Estoque'!F35)</f>
        <v/>
      </c>
      <c r="F72" s="80">
        <f>IF(A72="","",D72+E72)</f>
        <v/>
      </c>
      <c r="G72" s="93">
        <f>IF(A72="","",RANK(F72,$F$42:$F$241))</f>
        <v/>
      </c>
      <c r="H72" s="94">
        <f>IF(A72="","",F72-ROW()/1000000)</f>
        <v/>
      </c>
    </row>
    <row r="73">
      <c r="A73" s="82">
        <f>IF('Estoque'!A36="","",'Estoque'!A36)</f>
        <v/>
      </c>
      <c r="B73" s="83">
        <f>IF(A73="","",'Estoque'!B36)</f>
        <v/>
      </c>
      <c r="C73" s="83">
        <f>IF(A73="","",'Estoque'!C36)</f>
        <v/>
      </c>
      <c r="D73" s="80">
        <f>IF(A73="","",'Estoque'!E36)</f>
        <v/>
      </c>
      <c r="E73" s="80">
        <f>IF(A73="","",'Estoque'!F36)</f>
        <v/>
      </c>
      <c r="F73" s="80">
        <f>IF(A73="","",D73+E73)</f>
        <v/>
      </c>
      <c r="G73" s="93">
        <f>IF(A73="","",RANK(F73,$F$42:$F$241))</f>
        <v/>
      </c>
      <c r="H73" s="94">
        <f>IF(A73="","",F73-ROW()/1000000)</f>
        <v/>
      </c>
    </row>
    <row r="74">
      <c r="A74" s="82">
        <f>IF('Estoque'!A37="","",'Estoque'!A37)</f>
        <v/>
      </c>
      <c r="B74" s="83">
        <f>IF(A74="","",'Estoque'!B37)</f>
        <v/>
      </c>
      <c r="C74" s="83">
        <f>IF(A74="","",'Estoque'!C37)</f>
        <v/>
      </c>
      <c r="D74" s="80">
        <f>IF(A74="","",'Estoque'!E37)</f>
        <v/>
      </c>
      <c r="E74" s="80">
        <f>IF(A74="","",'Estoque'!F37)</f>
        <v/>
      </c>
      <c r="F74" s="80">
        <f>IF(A74="","",D74+E74)</f>
        <v/>
      </c>
      <c r="G74" s="93">
        <f>IF(A74="","",RANK(F74,$F$42:$F$241))</f>
        <v/>
      </c>
      <c r="H74" s="94">
        <f>IF(A74="","",F74-ROW()/1000000)</f>
        <v/>
      </c>
    </row>
    <row r="75">
      <c r="A75" s="82">
        <f>IF('Estoque'!A38="","",'Estoque'!A38)</f>
        <v/>
      </c>
      <c r="B75" s="83">
        <f>IF(A75="","",'Estoque'!B38)</f>
        <v/>
      </c>
      <c r="C75" s="83">
        <f>IF(A75="","",'Estoque'!C38)</f>
        <v/>
      </c>
      <c r="D75" s="80">
        <f>IF(A75="","",'Estoque'!E38)</f>
        <v/>
      </c>
      <c r="E75" s="80">
        <f>IF(A75="","",'Estoque'!F38)</f>
        <v/>
      </c>
      <c r="F75" s="80">
        <f>IF(A75="","",D75+E75)</f>
        <v/>
      </c>
      <c r="G75" s="93">
        <f>IF(A75="","",RANK(F75,$F$42:$F$241))</f>
        <v/>
      </c>
      <c r="H75" s="94">
        <f>IF(A75="","",F75-ROW()/1000000)</f>
        <v/>
      </c>
    </row>
    <row r="76">
      <c r="A76" s="82">
        <f>IF('Estoque'!A39="","",'Estoque'!A39)</f>
        <v/>
      </c>
      <c r="B76" s="83">
        <f>IF(A76="","",'Estoque'!B39)</f>
        <v/>
      </c>
      <c r="C76" s="83">
        <f>IF(A76="","",'Estoque'!C39)</f>
        <v/>
      </c>
      <c r="D76" s="80">
        <f>IF(A76="","",'Estoque'!E39)</f>
        <v/>
      </c>
      <c r="E76" s="80">
        <f>IF(A76="","",'Estoque'!F39)</f>
        <v/>
      </c>
      <c r="F76" s="80">
        <f>IF(A76="","",D76+E76)</f>
        <v/>
      </c>
      <c r="G76" s="93">
        <f>IF(A76="","",RANK(F76,$F$42:$F$241))</f>
        <v/>
      </c>
      <c r="H76" s="94">
        <f>IF(A76="","",F76-ROW()/1000000)</f>
        <v/>
      </c>
    </row>
    <row r="77">
      <c r="A77" s="82">
        <f>IF('Estoque'!A40="","",'Estoque'!A40)</f>
        <v/>
      </c>
      <c r="B77" s="83">
        <f>IF(A77="","",'Estoque'!B40)</f>
        <v/>
      </c>
      <c r="C77" s="83">
        <f>IF(A77="","",'Estoque'!C40)</f>
        <v/>
      </c>
      <c r="D77" s="80">
        <f>IF(A77="","",'Estoque'!E40)</f>
        <v/>
      </c>
      <c r="E77" s="80">
        <f>IF(A77="","",'Estoque'!F40)</f>
        <v/>
      </c>
      <c r="F77" s="80">
        <f>IF(A77="","",D77+E77)</f>
        <v/>
      </c>
      <c r="G77" s="93">
        <f>IF(A77="","",RANK(F77,$F$42:$F$241))</f>
        <v/>
      </c>
      <c r="H77" s="94">
        <f>IF(A77="","",F77-ROW()/1000000)</f>
        <v/>
      </c>
    </row>
    <row r="78">
      <c r="A78" s="82">
        <f>IF('Estoque'!A41="","",'Estoque'!A41)</f>
        <v/>
      </c>
      <c r="B78" s="83">
        <f>IF(A78="","",'Estoque'!B41)</f>
        <v/>
      </c>
      <c r="C78" s="83">
        <f>IF(A78="","",'Estoque'!C41)</f>
        <v/>
      </c>
      <c r="D78" s="80">
        <f>IF(A78="","",'Estoque'!E41)</f>
        <v/>
      </c>
      <c r="E78" s="80">
        <f>IF(A78="","",'Estoque'!F41)</f>
        <v/>
      </c>
      <c r="F78" s="80">
        <f>IF(A78="","",D78+E78)</f>
        <v/>
      </c>
      <c r="G78" s="93">
        <f>IF(A78="","",RANK(F78,$F$42:$F$241))</f>
        <v/>
      </c>
      <c r="H78" s="94">
        <f>IF(A78="","",F78-ROW()/1000000)</f>
        <v/>
      </c>
    </row>
    <row r="79">
      <c r="A79" s="82">
        <f>IF('Estoque'!A42="","",'Estoque'!A42)</f>
        <v/>
      </c>
      <c r="B79" s="83">
        <f>IF(A79="","",'Estoque'!B42)</f>
        <v/>
      </c>
      <c r="C79" s="83">
        <f>IF(A79="","",'Estoque'!C42)</f>
        <v/>
      </c>
      <c r="D79" s="80">
        <f>IF(A79="","",'Estoque'!E42)</f>
        <v/>
      </c>
      <c r="E79" s="80">
        <f>IF(A79="","",'Estoque'!F42)</f>
        <v/>
      </c>
      <c r="F79" s="80">
        <f>IF(A79="","",D79+E79)</f>
        <v/>
      </c>
      <c r="G79" s="93">
        <f>IF(A79="","",RANK(F79,$F$42:$F$241))</f>
        <v/>
      </c>
      <c r="H79" s="94">
        <f>IF(A79="","",F79-ROW()/1000000)</f>
        <v/>
      </c>
    </row>
    <row r="80">
      <c r="A80" s="82">
        <f>IF('Estoque'!A43="","",'Estoque'!A43)</f>
        <v/>
      </c>
      <c r="B80" s="83">
        <f>IF(A80="","",'Estoque'!B43)</f>
        <v/>
      </c>
      <c r="C80" s="83">
        <f>IF(A80="","",'Estoque'!C43)</f>
        <v/>
      </c>
      <c r="D80" s="80">
        <f>IF(A80="","",'Estoque'!E43)</f>
        <v/>
      </c>
      <c r="E80" s="80">
        <f>IF(A80="","",'Estoque'!F43)</f>
        <v/>
      </c>
      <c r="F80" s="80">
        <f>IF(A80="","",D80+E80)</f>
        <v/>
      </c>
      <c r="G80" s="93">
        <f>IF(A80="","",RANK(F80,$F$42:$F$241))</f>
        <v/>
      </c>
      <c r="H80" s="94">
        <f>IF(A80="","",F80-ROW()/1000000)</f>
        <v/>
      </c>
    </row>
    <row r="81">
      <c r="A81" s="82">
        <f>IF('Estoque'!A44="","",'Estoque'!A44)</f>
        <v/>
      </c>
      <c r="B81" s="83">
        <f>IF(A81="","",'Estoque'!B44)</f>
        <v/>
      </c>
      <c r="C81" s="83">
        <f>IF(A81="","",'Estoque'!C44)</f>
        <v/>
      </c>
      <c r="D81" s="80">
        <f>IF(A81="","",'Estoque'!E44)</f>
        <v/>
      </c>
      <c r="E81" s="80">
        <f>IF(A81="","",'Estoque'!F44)</f>
        <v/>
      </c>
      <c r="F81" s="80">
        <f>IF(A81="","",D81+E81)</f>
        <v/>
      </c>
      <c r="G81" s="93">
        <f>IF(A81="","",RANK(F81,$F$42:$F$241))</f>
        <v/>
      </c>
      <c r="H81" s="94">
        <f>IF(A81="","",F81-ROW()/1000000)</f>
        <v/>
      </c>
    </row>
    <row r="82">
      <c r="A82" s="82">
        <f>IF('Estoque'!A45="","",'Estoque'!A45)</f>
        <v/>
      </c>
      <c r="B82" s="83">
        <f>IF(A82="","",'Estoque'!B45)</f>
        <v/>
      </c>
      <c r="C82" s="83">
        <f>IF(A82="","",'Estoque'!C45)</f>
        <v/>
      </c>
      <c r="D82" s="80">
        <f>IF(A82="","",'Estoque'!E45)</f>
        <v/>
      </c>
      <c r="E82" s="80">
        <f>IF(A82="","",'Estoque'!F45)</f>
        <v/>
      </c>
      <c r="F82" s="80">
        <f>IF(A82="","",D82+E82)</f>
        <v/>
      </c>
      <c r="G82" s="93">
        <f>IF(A82="","",RANK(F82,$F$42:$F$241))</f>
        <v/>
      </c>
      <c r="H82" s="94">
        <f>IF(A82="","",F82-ROW()/1000000)</f>
        <v/>
      </c>
    </row>
    <row r="83">
      <c r="A83" s="82">
        <f>IF('Estoque'!A46="","",'Estoque'!A46)</f>
        <v/>
      </c>
      <c r="B83" s="83">
        <f>IF(A83="","",'Estoque'!B46)</f>
        <v/>
      </c>
      <c r="C83" s="83">
        <f>IF(A83="","",'Estoque'!C46)</f>
        <v/>
      </c>
      <c r="D83" s="80">
        <f>IF(A83="","",'Estoque'!E46)</f>
        <v/>
      </c>
      <c r="E83" s="80">
        <f>IF(A83="","",'Estoque'!F46)</f>
        <v/>
      </c>
      <c r="F83" s="80">
        <f>IF(A83="","",D83+E83)</f>
        <v/>
      </c>
      <c r="G83" s="93">
        <f>IF(A83="","",RANK(F83,$F$42:$F$241))</f>
        <v/>
      </c>
      <c r="H83" s="94">
        <f>IF(A83="","",F83-ROW()/1000000)</f>
        <v/>
      </c>
    </row>
    <row r="84">
      <c r="A84" s="82">
        <f>IF('Estoque'!A47="","",'Estoque'!A47)</f>
        <v/>
      </c>
      <c r="B84" s="83">
        <f>IF(A84="","",'Estoque'!B47)</f>
        <v/>
      </c>
      <c r="C84" s="83">
        <f>IF(A84="","",'Estoque'!C47)</f>
        <v/>
      </c>
      <c r="D84" s="80">
        <f>IF(A84="","",'Estoque'!E47)</f>
        <v/>
      </c>
      <c r="E84" s="80">
        <f>IF(A84="","",'Estoque'!F47)</f>
        <v/>
      </c>
      <c r="F84" s="80">
        <f>IF(A84="","",D84+E84)</f>
        <v/>
      </c>
      <c r="G84" s="93">
        <f>IF(A84="","",RANK(F84,$F$42:$F$241))</f>
        <v/>
      </c>
      <c r="H84" s="94">
        <f>IF(A84="","",F84-ROW()/1000000)</f>
        <v/>
      </c>
    </row>
    <row r="85">
      <c r="A85" s="82">
        <f>IF('Estoque'!A48="","",'Estoque'!A48)</f>
        <v/>
      </c>
      <c r="B85" s="83">
        <f>IF(A85="","",'Estoque'!B48)</f>
        <v/>
      </c>
      <c r="C85" s="83">
        <f>IF(A85="","",'Estoque'!C48)</f>
        <v/>
      </c>
      <c r="D85" s="80">
        <f>IF(A85="","",'Estoque'!E48)</f>
        <v/>
      </c>
      <c r="E85" s="80">
        <f>IF(A85="","",'Estoque'!F48)</f>
        <v/>
      </c>
      <c r="F85" s="80">
        <f>IF(A85="","",D85+E85)</f>
        <v/>
      </c>
      <c r="G85" s="93">
        <f>IF(A85="","",RANK(F85,$F$42:$F$241))</f>
        <v/>
      </c>
      <c r="H85" s="94">
        <f>IF(A85="","",F85-ROW()/1000000)</f>
        <v/>
      </c>
    </row>
    <row r="86">
      <c r="A86" s="82">
        <f>IF('Estoque'!A49="","",'Estoque'!A49)</f>
        <v/>
      </c>
      <c r="B86" s="83">
        <f>IF(A86="","",'Estoque'!B49)</f>
        <v/>
      </c>
      <c r="C86" s="83">
        <f>IF(A86="","",'Estoque'!C49)</f>
        <v/>
      </c>
      <c r="D86" s="80">
        <f>IF(A86="","",'Estoque'!E49)</f>
        <v/>
      </c>
      <c r="E86" s="80">
        <f>IF(A86="","",'Estoque'!F49)</f>
        <v/>
      </c>
      <c r="F86" s="80">
        <f>IF(A86="","",D86+E86)</f>
        <v/>
      </c>
      <c r="G86" s="93">
        <f>IF(A86="","",RANK(F86,$F$42:$F$241))</f>
        <v/>
      </c>
      <c r="H86" s="94">
        <f>IF(A86="","",F86-ROW()/1000000)</f>
        <v/>
      </c>
    </row>
    <row r="87">
      <c r="A87" s="82">
        <f>IF('Estoque'!A50="","",'Estoque'!A50)</f>
        <v/>
      </c>
      <c r="B87" s="83">
        <f>IF(A87="","",'Estoque'!B50)</f>
        <v/>
      </c>
      <c r="C87" s="83">
        <f>IF(A87="","",'Estoque'!C50)</f>
        <v/>
      </c>
      <c r="D87" s="80">
        <f>IF(A87="","",'Estoque'!E50)</f>
        <v/>
      </c>
      <c r="E87" s="80">
        <f>IF(A87="","",'Estoque'!F50)</f>
        <v/>
      </c>
      <c r="F87" s="80">
        <f>IF(A87="","",D87+E87)</f>
        <v/>
      </c>
      <c r="G87" s="93">
        <f>IF(A87="","",RANK(F87,$F$42:$F$241))</f>
        <v/>
      </c>
      <c r="H87" s="94">
        <f>IF(A87="","",F87-ROW()/1000000)</f>
        <v/>
      </c>
    </row>
    <row r="88">
      <c r="A88" s="82">
        <f>IF('Estoque'!A51="","",'Estoque'!A51)</f>
        <v/>
      </c>
      <c r="B88" s="83">
        <f>IF(A88="","",'Estoque'!B51)</f>
        <v/>
      </c>
      <c r="C88" s="83">
        <f>IF(A88="","",'Estoque'!C51)</f>
        <v/>
      </c>
      <c r="D88" s="80">
        <f>IF(A88="","",'Estoque'!E51)</f>
        <v/>
      </c>
      <c r="E88" s="80">
        <f>IF(A88="","",'Estoque'!F51)</f>
        <v/>
      </c>
      <c r="F88" s="80">
        <f>IF(A88="","",D88+E88)</f>
        <v/>
      </c>
      <c r="G88" s="93">
        <f>IF(A88="","",RANK(F88,$F$42:$F$241))</f>
        <v/>
      </c>
      <c r="H88" s="94">
        <f>IF(A88="","",F88-ROW()/1000000)</f>
        <v/>
      </c>
    </row>
    <row r="89">
      <c r="A89" s="82">
        <f>IF('Estoque'!A52="","",'Estoque'!A52)</f>
        <v/>
      </c>
      <c r="B89" s="83">
        <f>IF(A89="","",'Estoque'!B52)</f>
        <v/>
      </c>
      <c r="C89" s="83">
        <f>IF(A89="","",'Estoque'!C52)</f>
        <v/>
      </c>
      <c r="D89" s="80">
        <f>IF(A89="","",'Estoque'!E52)</f>
        <v/>
      </c>
      <c r="E89" s="80">
        <f>IF(A89="","",'Estoque'!F52)</f>
        <v/>
      </c>
      <c r="F89" s="80">
        <f>IF(A89="","",D89+E89)</f>
        <v/>
      </c>
      <c r="G89" s="93">
        <f>IF(A89="","",RANK(F89,$F$42:$F$241))</f>
        <v/>
      </c>
      <c r="H89" s="94">
        <f>IF(A89="","",F89-ROW()/1000000)</f>
        <v/>
      </c>
    </row>
    <row r="90">
      <c r="A90" s="82">
        <f>IF('Estoque'!A53="","",'Estoque'!A53)</f>
        <v/>
      </c>
      <c r="B90" s="83">
        <f>IF(A90="","",'Estoque'!B53)</f>
        <v/>
      </c>
      <c r="C90" s="83">
        <f>IF(A90="","",'Estoque'!C53)</f>
        <v/>
      </c>
      <c r="D90" s="80">
        <f>IF(A90="","",'Estoque'!E53)</f>
        <v/>
      </c>
      <c r="E90" s="80">
        <f>IF(A90="","",'Estoque'!F53)</f>
        <v/>
      </c>
      <c r="F90" s="80">
        <f>IF(A90="","",D90+E90)</f>
        <v/>
      </c>
      <c r="G90" s="93">
        <f>IF(A90="","",RANK(F90,$F$42:$F$241))</f>
        <v/>
      </c>
      <c r="H90" s="94">
        <f>IF(A90="","",F90-ROW()/1000000)</f>
        <v/>
      </c>
    </row>
    <row r="91">
      <c r="A91" s="82">
        <f>IF('Estoque'!A54="","",'Estoque'!A54)</f>
        <v/>
      </c>
      <c r="B91" s="83">
        <f>IF(A91="","",'Estoque'!B54)</f>
        <v/>
      </c>
      <c r="C91" s="83">
        <f>IF(A91="","",'Estoque'!C54)</f>
        <v/>
      </c>
      <c r="D91" s="80">
        <f>IF(A91="","",'Estoque'!E54)</f>
        <v/>
      </c>
      <c r="E91" s="80">
        <f>IF(A91="","",'Estoque'!F54)</f>
        <v/>
      </c>
      <c r="F91" s="80">
        <f>IF(A91="","",D91+E91)</f>
        <v/>
      </c>
      <c r="G91" s="93">
        <f>IF(A91="","",RANK(F91,$F$42:$F$241))</f>
        <v/>
      </c>
      <c r="H91" s="94">
        <f>IF(A91="","",F91-ROW()/1000000)</f>
        <v/>
      </c>
    </row>
    <row r="92">
      <c r="A92" s="82">
        <f>IF('Estoque'!A55="","",'Estoque'!A55)</f>
        <v/>
      </c>
      <c r="B92" s="83">
        <f>IF(A92="","",'Estoque'!B55)</f>
        <v/>
      </c>
      <c r="C92" s="83">
        <f>IF(A92="","",'Estoque'!C55)</f>
        <v/>
      </c>
      <c r="D92" s="80">
        <f>IF(A92="","",'Estoque'!E55)</f>
        <v/>
      </c>
      <c r="E92" s="80">
        <f>IF(A92="","",'Estoque'!F55)</f>
        <v/>
      </c>
      <c r="F92" s="80">
        <f>IF(A92="","",D92+E92)</f>
        <v/>
      </c>
      <c r="G92" s="93">
        <f>IF(A92="","",RANK(F92,$F$42:$F$241))</f>
        <v/>
      </c>
      <c r="H92" s="94">
        <f>IF(A92="","",F92-ROW()/1000000)</f>
        <v/>
      </c>
    </row>
    <row r="93">
      <c r="A93" s="82">
        <f>IF('Estoque'!A56="","",'Estoque'!A56)</f>
        <v/>
      </c>
      <c r="B93" s="83">
        <f>IF(A93="","",'Estoque'!B56)</f>
        <v/>
      </c>
      <c r="C93" s="83">
        <f>IF(A93="","",'Estoque'!C56)</f>
        <v/>
      </c>
      <c r="D93" s="80">
        <f>IF(A93="","",'Estoque'!E56)</f>
        <v/>
      </c>
      <c r="E93" s="80">
        <f>IF(A93="","",'Estoque'!F56)</f>
        <v/>
      </c>
      <c r="F93" s="80">
        <f>IF(A93="","",D93+E93)</f>
        <v/>
      </c>
      <c r="G93" s="93">
        <f>IF(A93="","",RANK(F93,$F$42:$F$241))</f>
        <v/>
      </c>
      <c r="H93" s="94">
        <f>IF(A93="","",F93-ROW()/1000000)</f>
        <v/>
      </c>
    </row>
    <row r="94">
      <c r="A94" s="82">
        <f>IF('Estoque'!A57="","",'Estoque'!A57)</f>
        <v/>
      </c>
      <c r="B94" s="83">
        <f>IF(A94="","",'Estoque'!B57)</f>
        <v/>
      </c>
      <c r="C94" s="83">
        <f>IF(A94="","",'Estoque'!C57)</f>
        <v/>
      </c>
      <c r="D94" s="80">
        <f>IF(A94="","",'Estoque'!E57)</f>
        <v/>
      </c>
      <c r="E94" s="80">
        <f>IF(A94="","",'Estoque'!F57)</f>
        <v/>
      </c>
      <c r="F94" s="80">
        <f>IF(A94="","",D94+E94)</f>
        <v/>
      </c>
      <c r="G94" s="93">
        <f>IF(A94="","",RANK(F94,$F$42:$F$241))</f>
        <v/>
      </c>
      <c r="H94" s="94">
        <f>IF(A94="","",F94-ROW()/1000000)</f>
        <v/>
      </c>
    </row>
    <row r="95">
      <c r="A95" s="82">
        <f>IF('Estoque'!A58="","",'Estoque'!A58)</f>
        <v/>
      </c>
      <c r="B95" s="83">
        <f>IF(A95="","",'Estoque'!B58)</f>
        <v/>
      </c>
      <c r="C95" s="83">
        <f>IF(A95="","",'Estoque'!C58)</f>
        <v/>
      </c>
      <c r="D95" s="80">
        <f>IF(A95="","",'Estoque'!E58)</f>
        <v/>
      </c>
      <c r="E95" s="80">
        <f>IF(A95="","",'Estoque'!F58)</f>
        <v/>
      </c>
      <c r="F95" s="80">
        <f>IF(A95="","",D95+E95)</f>
        <v/>
      </c>
      <c r="G95" s="93">
        <f>IF(A95="","",RANK(F95,$F$42:$F$241))</f>
        <v/>
      </c>
      <c r="H95" s="94">
        <f>IF(A95="","",F95-ROW()/1000000)</f>
        <v/>
      </c>
    </row>
    <row r="96">
      <c r="A96" s="82">
        <f>IF('Estoque'!A59="","",'Estoque'!A59)</f>
        <v/>
      </c>
      <c r="B96" s="83">
        <f>IF(A96="","",'Estoque'!B59)</f>
        <v/>
      </c>
      <c r="C96" s="83">
        <f>IF(A96="","",'Estoque'!C59)</f>
        <v/>
      </c>
      <c r="D96" s="80">
        <f>IF(A96="","",'Estoque'!E59)</f>
        <v/>
      </c>
      <c r="E96" s="80">
        <f>IF(A96="","",'Estoque'!F59)</f>
        <v/>
      </c>
      <c r="F96" s="80">
        <f>IF(A96="","",D96+E96)</f>
        <v/>
      </c>
      <c r="G96" s="93">
        <f>IF(A96="","",RANK(F96,$F$42:$F$241))</f>
        <v/>
      </c>
      <c r="H96" s="94">
        <f>IF(A96="","",F96-ROW()/1000000)</f>
        <v/>
      </c>
    </row>
    <row r="97">
      <c r="A97" s="82">
        <f>IF('Estoque'!A60="","",'Estoque'!A60)</f>
        <v/>
      </c>
      <c r="B97" s="83">
        <f>IF(A97="","",'Estoque'!B60)</f>
        <v/>
      </c>
      <c r="C97" s="83">
        <f>IF(A97="","",'Estoque'!C60)</f>
        <v/>
      </c>
      <c r="D97" s="80">
        <f>IF(A97="","",'Estoque'!E60)</f>
        <v/>
      </c>
      <c r="E97" s="80">
        <f>IF(A97="","",'Estoque'!F60)</f>
        <v/>
      </c>
      <c r="F97" s="80">
        <f>IF(A97="","",D97+E97)</f>
        <v/>
      </c>
      <c r="G97" s="93">
        <f>IF(A97="","",RANK(F97,$F$42:$F$241))</f>
        <v/>
      </c>
      <c r="H97" s="94">
        <f>IF(A97="","",F97-ROW()/1000000)</f>
        <v/>
      </c>
    </row>
    <row r="98">
      <c r="A98" s="82">
        <f>IF('Estoque'!A61="","",'Estoque'!A61)</f>
        <v/>
      </c>
      <c r="B98" s="83">
        <f>IF(A98="","",'Estoque'!B61)</f>
        <v/>
      </c>
      <c r="C98" s="83">
        <f>IF(A98="","",'Estoque'!C61)</f>
        <v/>
      </c>
      <c r="D98" s="80">
        <f>IF(A98="","",'Estoque'!E61)</f>
        <v/>
      </c>
      <c r="E98" s="80">
        <f>IF(A98="","",'Estoque'!F61)</f>
        <v/>
      </c>
      <c r="F98" s="80">
        <f>IF(A98="","",D98+E98)</f>
        <v/>
      </c>
      <c r="G98" s="93">
        <f>IF(A98="","",RANK(F98,$F$42:$F$241))</f>
        <v/>
      </c>
      <c r="H98" s="94">
        <f>IF(A98="","",F98-ROW()/1000000)</f>
        <v/>
      </c>
    </row>
    <row r="99">
      <c r="A99" s="82">
        <f>IF('Estoque'!A62="","",'Estoque'!A62)</f>
        <v/>
      </c>
      <c r="B99" s="83">
        <f>IF(A99="","",'Estoque'!B62)</f>
        <v/>
      </c>
      <c r="C99" s="83">
        <f>IF(A99="","",'Estoque'!C62)</f>
        <v/>
      </c>
      <c r="D99" s="80">
        <f>IF(A99="","",'Estoque'!E62)</f>
        <v/>
      </c>
      <c r="E99" s="80">
        <f>IF(A99="","",'Estoque'!F62)</f>
        <v/>
      </c>
      <c r="F99" s="80">
        <f>IF(A99="","",D99+E99)</f>
        <v/>
      </c>
      <c r="G99" s="93">
        <f>IF(A99="","",RANK(F99,$F$42:$F$241))</f>
        <v/>
      </c>
      <c r="H99" s="94">
        <f>IF(A99="","",F99-ROW()/1000000)</f>
        <v/>
      </c>
    </row>
    <row r="100">
      <c r="A100" s="82">
        <f>IF('Estoque'!A63="","",'Estoque'!A63)</f>
        <v/>
      </c>
      <c r="B100" s="83">
        <f>IF(A100="","",'Estoque'!B63)</f>
        <v/>
      </c>
      <c r="C100" s="83">
        <f>IF(A100="","",'Estoque'!C63)</f>
        <v/>
      </c>
      <c r="D100" s="80">
        <f>IF(A100="","",'Estoque'!E63)</f>
        <v/>
      </c>
      <c r="E100" s="80">
        <f>IF(A100="","",'Estoque'!F63)</f>
        <v/>
      </c>
      <c r="F100" s="80">
        <f>IF(A100="","",D100+E100)</f>
        <v/>
      </c>
      <c r="G100" s="93">
        <f>IF(A100="","",RANK(F100,$F$42:$F$241))</f>
        <v/>
      </c>
      <c r="H100" s="94">
        <f>IF(A100="","",F100-ROW()/1000000)</f>
        <v/>
      </c>
    </row>
    <row r="101">
      <c r="A101" s="82">
        <f>IF('Estoque'!A64="","",'Estoque'!A64)</f>
        <v/>
      </c>
      <c r="B101" s="83">
        <f>IF(A101="","",'Estoque'!B64)</f>
        <v/>
      </c>
      <c r="C101" s="83">
        <f>IF(A101="","",'Estoque'!C64)</f>
        <v/>
      </c>
      <c r="D101" s="80">
        <f>IF(A101="","",'Estoque'!E64)</f>
        <v/>
      </c>
      <c r="E101" s="80">
        <f>IF(A101="","",'Estoque'!F64)</f>
        <v/>
      </c>
      <c r="F101" s="80">
        <f>IF(A101="","",D101+E101)</f>
        <v/>
      </c>
      <c r="G101" s="93">
        <f>IF(A101="","",RANK(F101,$F$42:$F$241))</f>
        <v/>
      </c>
      <c r="H101" s="94">
        <f>IF(A101="","",F101-ROW()/1000000)</f>
        <v/>
      </c>
    </row>
    <row r="102">
      <c r="A102" s="82">
        <f>IF('Estoque'!A65="","",'Estoque'!A65)</f>
        <v/>
      </c>
      <c r="B102" s="83">
        <f>IF(A102="","",'Estoque'!B65)</f>
        <v/>
      </c>
      <c r="C102" s="83">
        <f>IF(A102="","",'Estoque'!C65)</f>
        <v/>
      </c>
      <c r="D102" s="80">
        <f>IF(A102="","",'Estoque'!E65)</f>
        <v/>
      </c>
      <c r="E102" s="80">
        <f>IF(A102="","",'Estoque'!F65)</f>
        <v/>
      </c>
      <c r="F102" s="80">
        <f>IF(A102="","",D102+E102)</f>
        <v/>
      </c>
      <c r="G102" s="93">
        <f>IF(A102="","",RANK(F102,$F$42:$F$241))</f>
        <v/>
      </c>
      <c r="H102" s="94">
        <f>IF(A102="","",F102-ROW()/1000000)</f>
        <v/>
      </c>
    </row>
    <row r="103">
      <c r="A103" s="82">
        <f>IF('Estoque'!A66="","",'Estoque'!A66)</f>
        <v/>
      </c>
      <c r="B103" s="83">
        <f>IF(A103="","",'Estoque'!B66)</f>
        <v/>
      </c>
      <c r="C103" s="83">
        <f>IF(A103="","",'Estoque'!C66)</f>
        <v/>
      </c>
      <c r="D103" s="80">
        <f>IF(A103="","",'Estoque'!E66)</f>
        <v/>
      </c>
      <c r="E103" s="80">
        <f>IF(A103="","",'Estoque'!F66)</f>
        <v/>
      </c>
      <c r="F103" s="80">
        <f>IF(A103="","",D103+E103)</f>
        <v/>
      </c>
      <c r="G103" s="93">
        <f>IF(A103="","",RANK(F103,$F$42:$F$241))</f>
        <v/>
      </c>
      <c r="H103" s="94">
        <f>IF(A103="","",F103-ROW()/1000000)</f>
        <v/>
      </c>
    </row>
    <row r="104">
      <c r="A104" s="82">
        <f>IF('Estoque'!A67="","",'Estoque'!A67)</f>
        <v/>
      </c>
      <c r="B104" s="83">
        <f>IF(A104="","",'Estoque'!B67)</f>
        <v/>
      </c>
      <c r="C104" s="83">
        <f>IF(A104="","",'Estoque'!C67)</f>
        <v/>
      </c>
      <c r="D104" s="80">
        <f>IF(A104="","",'Estoque'!E67)</f>
        <v/>
      </c>
      <c r="E104" s="80">
        <f>IF(A104="","",'Estoque'!F67)</f>
        <v/>
      </c>
      <c r="F104" s="80">
        <f>IF(A104="","",D104+E104)</f>
        <v/>
      </c>
      <c r="G104" s="93">
        <f>IF(A104="","",RANK(F104,$F$42:$F$241))</f>
        <v/>
      </c>
      <c r="H104" s="94">
        <f>IF(A104="","",F104-ROW()/1000000)</f>
        <v/>
      </c>
    </row>
    <row r="105">
      <c r="A105" s="82">
        <f>IF('Estoque'!A68="","",'Estoque'!A68)</f>
        <v/>
      </c>
      <c r="B105" s="83">
        <f>IF(A105="","",'Estoque'!B68)</f>
        <v/>
      </c>
      <c r="C105" s="83">
        <f>IF(A105="","",'Estoque'!C68)</f>
        <v/>
      </c>
      <c r="D105" s="80">
        <f>IF(A105="","",'Estoque'!E68)</f>
        <v/>
      </c>
      <c r="E105" s="80">
        <f>IF(A105="","",'Estoque'!F68)</f>
        <v/>
      </c>
      <c r="F105" s="80">
        <f>IF(A105="","",D105+E105)</f>
        <v/>
      </c>
      <c r="G105" s="93">
        <f>IF(A105="","",RANK(F105,$F$42:$F$241))</f>
        <v/>
      </c>
      <c r="H105" s="94">
        <f>IF(A105="","",F105-ROW()/1000000)</f>
        <v/>
      </c>
    </row>
    <row r="106">
      <c r="A106" s="82">
        <f>IF('Estoque'!A69="","",'Estoque'!A69)</f>
        <v/>
      </c>
      <c r="B106" s="83">
        <f>IF(A106="","",'Estoque'!B69)</f>
        <v/>
      </c>
      <c r="C106" s="83">
        <f>IF(A106="","",'Estoque'!C69)</f>
        <v/>
      </c>
      <c r="D106" s="80">
        <f>IF(A106="","",'Estoque'!E69)</f>
        <v/>
      </c>
      <c r="E106" s="80">
        <f>IF(A106="","",'Estoque'!F69)</f>
        <v/>
      </c>
      <c r="F106" s="80">
        <f>IF(A106="","",D106+E106)</f>
        <v/>
      </c>
      <c r="G106" s="93">
        <f>IF(A106="","",RANK(F106,$F$42:$F$241))</f>
        <v/>
      </c>
      <c r="H106" s="94">
        <f>IF(A106="","",F106-ROW()/1000000)</f>
        <v/>
      </c>
    </row>
    <row r="107">
      <c r="A107" s="82">
        <f>IF('Estoque'!A70="","",'Estoque'!A70)</f>
        <v/>
      </c>
      <c r="B107" s="83">
        <f>IF(A107="","",'Estoque'!B70)</f>
        <v/>
      </c>
      <c r="C107" s="83">
        <f>IF(A107="","",'Estoque'!C70)</f>
        <v/>
      </c>
      <c r="D107" s="80">
        <f>IF(A107="","",'Estoque'!E70)</f>
        <v/>
      </c>
      <c r="E107" s="80">
        <f>IF(A107="","",'Estoque'!F70)</f>
        <v/>
      </c>
      <c r="F107" s="80">
        <f>IF(A107="","",D107+E107)</f>
        <v/>
      </c>
      <c r="G107" s="93">
        <f>IF(A107="","",RANK(F107,$F$42:$F$241))</f>
        <v/>
      </c>
      <c r="H107" s="94">
        <f>IF(A107="","",F107-ROW()/1000000)</f>
        <v/>
      </c>
    </row>
    <row r="108">
      <c r="A108" s="82">
        <f>IF('Estoque'!A71="","",'Estoque'!A71)</f>
        <v/>
      </c>
      <c r="B108" s="83">
        <f>IF(A108="","",'Estoque'!B71)</f>
        <v/>
      </c>
      <c r="C108" s="83">
        <f>IF(A108="","",'Estoque'!C71)</f>
        <v/>
      </c>
      <c r="D108" s="80">
        <f>IF(A108="","",'Estoque'!E71)</f>
        <v/>
      </c>
      <c r="E108" s="80">
        <f>IF(A108="","",'Estoque'!F71)</f>
        <v/>
      </c>
      <c r="F108" s="80">
        <f>IF(A108="","",D108+E108)</f>
        <v/>
      </c>
      <c r="G108" s="93">
        <f>IF(A108="","",RANK(F108,$F$42:$F$241))</f>
        <v/>
      </c>
      <c r="H108" s="94">
        <f>IF(A108="","",F108-ROW()/1000000)</f>
        <v/>
      </c>
    </row>
    <row r="109">
      <c r="A109" s="82">
        <f>IF('Estoque'!A72="","",'Estoque'!A72)</f>
        <v/>
      </c>
      <c r="B109" s="83">
        <f>IF(A109="","",'Estoque'!B72)</f>
        <v/>
      </c>
      <c r="C109" s="83">
        <f>IF(A109="","",'Estoque'!C72)</f>
        <v/>
      </c>
      <c r="D109" s="80">
        <f>IF(A109="","",'Estoque'!E72)</f>
        <v/>
      </c>
      <c r="E109" s="80">
        <f>IF(A109="","",'Estoque'!F72)</f>
        <v/>
      </c>
      <c r="F109" s="80">
        <f>IF(A109="","",D109+E109)</f>
        <v/>
      </c>
      <c r="G109" s="93">
        <f>IF(A109="","",RANK(F109,$F$42:$F$241))</f>
        <v/>
      </c>
      <c r="H109" s="94">
        <f>IF(A109="","",F109-ROW()/1000000)</f>
        <v/>
      </c>
    </row>
    <row r="110">
      <c r="A110" s="82">
        <f>IF('Estoque'!A73="","",'Estoque'!A73)</f>
        <v/>
      </c>
      <c r="B110" s="83">
        <f>IF(A110="","",'Estoque'!B73)</f>
        <v/>
      </c>
      <c r="C110" s="83">
        <f>IF(A110="","",'Estoque'!C73)</f>
        <v/>
      </c>
      <c r="D110" s="80">
        <f>IF(A110="","",'Estoque'!E73)</f>
        <v/>
      </c>
      <c r="E110" s="80">
        <f>IF(A110="","",'Estoque'!F73)</f>
        <v/>
      </c>
      <c r="F110" s="80">
        <f>IF(A110="","",D110+E110)</f>
        <v/>
      </c>
      <c r="G110" s="93">
        <f>IF(A110="","",RANK(F110,$F$42:$F$241))</f>
        <v/>
      </c>
      <c r="H110" s="94">
        <f>IF(A110="","",F110-ROW()/1000000)</f>
        <v/>
      </c>
    </row>
    <row r="111">
      <c r="A111" s="82">
        <f>IF('Estoque'!A74="","",'Estoque'!A74)</f>
        <v/>
      </c>
      <c r="B111" s="83">
        <f>IF(A111="","",'Estoque'!B74)</f>
        <v/>
      </c>
      <c r="C111" s="83">
        <f>IF(A111="","",'Estoque'!C74)</f>
        <v/>
      </c>
      <c r="D111" s="80">
        <f>IF(A111="","",'Estoque'!E74)</f>
        <v/>
      </c>
      <c r="E111" s="80">
        <f>IF(A111="","",'Estoque'!F74)</f>
        <v/>
      </c>
      <c r="F111" s="80">
        <f>IF(A111="","",D111+E111)</f>
        <v/>
      </c>
      <c r="G111" s="93">
        <f>IF(A111="","",RANK(F111,$F$42:$F$241))</f>
        <v/>
      </c>
      <c r="H111" s="94">
        <f>IF(A111="","",F111-ROW()/1000000)</f>
        <v/>
      </c>
    </row>
    <row r="112">
      <c r="A112" s="82">
        <f>IF('Estoque'!A75="","",'Estoque'!A75)</f>
        <v/>
      </c>
      <c r="B112" s="83">
        <f>IF(A112="","",'Estoque'!B75)</f>
        <v/>
      </c>
      <c r="C112" s="83">
        <f>IF(A112="","",'Estoque'!C75)</f>
        <v/>
      </c>
      <c r="D112" s="80">
        <f>IF(A112="","",'Estoque'!E75)</f>
        <v/>
      </c>
      <c r="E112" s="80">
        <f>IF(A112="","",'Estoque'!F75)</f>
        <v/>
      </c>
      <c r="F112" s="80">
        <f>IF(A112="","",D112+E112)</f>
        <v/>
      </c>
      <c r="G112" s="93">
        <f>IF(A112="","",RANK(F112,$F$42:$F$241))</f>
        <v/>
      </c>
      <c r="H112" s="94">
        <f>IF(A112="","",F112-ROW()/1000000)</f>
        <v/>
      </c>
    </row>
    <row r="113">
      <c r="A113" s="82">
        <f>IF('Estoque'!A76="","",'Estoque'!A76)</f>
        <v/>
      </c>
      <c r="B113" s="83">
        <f>IF(A113="","",'Estoque'!B76)</f>
        <v/>
      </c>
      <c r="C113" s="83">
        <f>IF(A113="","",'Estoque'!C76)</f>
        <v/>
      </c>
      <c r="D113" s="80">
        <f>IF(A113="","",'Estoque'!E76)</f>
        <v/>
      </c>
      <c r="E113" s="80">
        <f>IF(A113="","",'Estoque'!F76)</f>
        <v/>
      </c>
      <c r="F113" s="80">
        <f>IF(A113="","",D113+E113)</f>
        <v/>
      </c>
      <c r="G113" s="93">
        <f>IF(A113="","",RANK(F113,$F$42:$F$241))</f>
        <v/>
      </c>
      <c r="H113" s="94">
        <f>IF(A113="","",F113-ROW()/1000000)</f>
        <v/>
      </c>
    </row>
    <row r="114">
      <c r="A114" s="82">
        <f>IF('Estoque'!A77="","",'Estoque'!A77)</f>
        <v/>
      </c>
      <c r="B114" s="83">
        <f>IF(A114="","",'Estoque'!B77)</f>
        <v/>
      </c>
      <c r="C114" s="83">
        <f>IF(A114="","",'Estoque'!C77)</f>
        <v/>
      </c>
      <c r="D114" s="80">
        <f>IF(A114="","",'Estoque'!E77)</f>
        <v/>
      </c>
      <c r="E114" s="80">
        <f>IF(A114="","",'Estoque'!F77)</f>
        <v/>
      </c>
      <c r="F114" s="80">
        <f>IF(A114="","",D114+E114)</f>
        <v/>
      </c>
      <c r="G114" s="93">
        <f>IF(A114="","",RANK(F114,$F$42:$F$241))</f>
        <v/>
      </c>
      <c r="H114" s="94">
        <f>IF(A114="","",F114-ROW()/1000000)</f>
        <v/>
      </c>
    </row>
    <row r="115">
      <c r="A115" s="82">
        <f>IF('Estoque'!A78="","",'Estoque'!A78)</f>
        <v/>
      </c>
      <c r="B115" s="83">
        <f>IF(A115="","",'Estoque'!B78)</f>
        <v/>
      </c>
      <c r="C115" s="83">
        <f>IF(A115="","",'Estoque'!C78)</f>
        <v/>
      </c>
      <c r="D115" s="80">
        <f>IF(A115="","",'Estoque'!E78)</f>
        <v/>
      </c>
      <c r="E115" s="80">
        <f>IF(A115="","",'Estoque'!F78)</f>
        <v/>
      </c>
      <c r="F115" s="80">
        <f>IF(A115="","",D115+E115)</f>
        <v/>
      </c>
      <c r="G115" s="93">
        <f>IF(A115="","",RANK(F115,$F$42:$F$241))</f>
        <v/>
      </c>
      <c r="H115" s="94">
        <f>IF(A115="","",F115-ROW()/1000000)</f>
        <v/>
      </c>
    </row>
    <row r="116">
      <c r="A116" s="82">
        <f>IF('Estoque'!A79="","",'Estoque'!A79)</f>
        <v/>
      </c>
      <c r="B116" s="83">
        <f>IF(A116="","",'Estoque'!B79)</f>
        <v/>
      </c>
      <c r="C116" s="83">
        <f>IF(A116="","",'Estoque'!C79)</f>
        <v/>
      </c>
      <c r="D116" s="80">
        <f>IF(A116="","",'Estoque'!E79)</f>
        <v/>
      </c>
      <c r="E116" s="80">
        <f>IF(A116="","",'Estoque'!F79)</f>
        <v/>
      </c>
      <c r="F116" s="80">
        <f>IF(A116="","",D116+E116)</f>
        <v/>
      </c>
      <c r="G116" s="93">
        <f>IF(A116="","",RANK(F116,$F$42:$F$241))</f>
        <v/>
      </c>
      <c r="H116" s="94">
        <f>IF(A116="","",F116-ROW()/1000000)</f>
        <v/>
      </c>
    </row>
    <row r="117">
      <c r="A117" s="82">
        <f>IF('Estoque'!A80="","",'Estoque'!A80)</f>
        <v/>
      </c>
      <c r="B117" s="83">
        <f>IF(A117="","",'Estoque'!B80)</f>
        <v/>
      </c>
      <c r="C117" s="83">
        <f>IF(A117="","",'Estoque'!C80)</f>
        <v/>
      </c>
      <c r="D117" s="80">
        <f>IF(A117="","",'Estoque'!E80)</f>
        <v/>
      </c>
      <c r="E117" s="80">
        <f>IF(A117="","",'Estoque'!F80)</f>
        <v/>
      </c>
      <c r="F117" s="80">
        <f>IF(A117="","",D117+E117)</f>
        <v/>
      </c>
      <c r="G117" s="93">
        <f>IF(A117="","",RANK(F117,$F$42:$F$241))</f>
        <v/>
      </c>
      <c r="H117" s="94">
        <f>IF(A117="","",F117-ROW()/1000000)</f>
        <v/>
      </c>
    </row>
    <row r="118">
      <c r="A118" s="82">
        <f>IF('Estoque'!A81="","",'Estoque'!A81)</f>
        <v/>
      </c>
      <c r="B118" s="83">
        <f>IF(A118="","",'Estoque'!B81)</f>
        <v/>
      </c>
      <c r="C118" s="83">
        <f>IF(A118="","",'Estoque'!C81)</f>
        <v/>
      </c>
      <c r="D118" s="80">
        <f>IF(A118="","",'Estoque'!E81)</f>
        <v/>
      </c>
      <c r="E118" s="80">
        <f>IF(A118="","",'Estoque'!F81)</f>
        <v/>
      </c>
      <c r="F118" s="80">
        <f>IF(A118="","",D118+E118)</f>
        <v/>
      </c>
      <c r="G118" s="93">
        <f>IF(A118="","",RANK(F118,$F$42:$F$241))</f>
        <v/>
      </c>
      <c r="H118" s="94">
        <f>IF(A118="","",F118-ROW()/1000000)</f>
        <v/>
      </c>
    </row>
    <row r="119">
      <c r="A119" s="82">
        <f>IF('Estoque'!A82="","",'Estoque'!A82)</f>
        <v/>
      </c>
      <c r="B119" s="83">
        <f>IF(A119="","",'Estoque'!B82)</f>
        <v/>
      </c>
      <c r="C119" s="83">
        <f>IF(A119="","",'Estoque'!C82)</f>
        <v/>
      </c>
      <c r="D119" s="80">
        <f>IF(A119="","",'Estoque'!E82)</f>
        <v/>
      </c>
      <c r="E119" s="80">
        <f>IF(A119="","",'Estoque'!F82)</f>
        <v/>
      </c>
      <c r="F119" s="80">
        <f>IF(A119="","",D119+E119)</f>
        <v/>
      </c>
      <c r="G119" s="93">
        <f>IF(A119="","",RANK(F119,$F$42:$F$241))</f>
        <v/>
      </c>
      <c r="H119" s="94">
        <f>IF(A119="","",F119-ROW()/1000000)</f>
        <v/>
      </c>
    </row>
    <row r="120">
      <c r="A120" s="82">
        <f>IF('Estoque'!A83="","",'Estoque'!A83)</f>
        <v/>
      </c>
      <c r="B120" s="83">
        <f>IF(A120="","",'Estoque'!B83)</f>
        <v/>
      </c>
      <c r="C120" s="83">
        <f>IF(A120="","",'Estoque'!C83)</f>
        <v/>
      </c>
      <c r="D120" s="80">
        <f>IF(A120="","",'Estoque'!E83)</f>
        <v/>
      </c>
      <c r="E120" s="80">
        <f>IF(A120="","",'Estoque'!F83)</f>
        <v/>
      </c>
      <c r="F120" s="80">
        <f>IF(A120="","",D120+E120)</f>
        <v/>
      </c>
      <c r="G120" s="93">
        <f>IF(A120="","",RANK(F120,$F$42:$F$241))</f>
        <v/>
      </c>
      <c r="H120" s="94">
        <f>IF(A120="","",F120-ROW()/1000000)</f>
        <v/>
      </c>
    </row>
    <row r="121">
      <c r="A121" s="82">
        <f>IF('Estoque'!A84="","",'Estoque'!A84)</f>
        <v/>
      </c>
      <c r="B121" s="83">
        <f>IF(A121="","",'Estoque'!B84)</f>
        <v/>
      </c>
      <c r="C121" s="83">
        <f>IF(A121="","",'Estoque'!C84)</f>
        <v/>
      </c>
      <c r="D121" s="80">
        <f>IF(A121="","",'Estoque'!E84)</f>
        <v/>
      </c>
      <c r="E121" s="80">
        <f>IF(A121="","",'Estoque'!F84)</f>
        <v/>
      </c>
      <c r="F121" s="80">
        <f>IF(A121="","",D121+E121)</f>
        <v/>
      </c>
      <c r="G121" s="93">
        <f>IF(A121="","",RANK(F121,$F$42:$F$241))</f>
        <v/>
      </c>
      <c r="H121" s="94">
        <f>IF(A121="","",F121-ROW()/1000000)</f>
        <v/>
      </c>
    </row>
    <row r="122">
      <c r="A122" s="82">
        <f>IF('Estoque'!A85="","",'Estoque'!A85)</f>
        <v/>
      </c>
      <c r="B122" s="83">
        <f>IF(A122="","",'Estoque'!B85)</f>
        <v/>
      </c>
      <c r="C122" s="83">
        <f>IF(A122="","",'Estoque'!C85)</f>
        <v/>
      </c>
      <c r="D122" s="80">
        <f>IF(A122="","",'Estoque'!E85)</f>
        <v/>
      </c>
      <c r="E122" s="80">
        <f>IF(A122="","",'Estoque'!F85)</f>
        <v/>
      </c>
      <c r="F122" s="80">
        <f>IF(A122="","",D122+E122)</f>
        <v/>
      </c>
      <c r="G122" s="93">
        <f>IF(A122="","",RANK(F122,$F$42:$F$241))</f>
        <v/>
      </c>
      <c r="H122" s="94">
        <f>IF(A122="","",F122-ROW()/1000000)</f>
        <v/>
      </c>
    </row>
    <row r="123">
      <c r="A123" s="82">
        <f>IF('Estoque'!A86="","",'Estoque'!A86)</f>
        <v/>
      </c>
      <c r="B123" s="83">
        <f>IF(A123="","",'Estoque'!B86)</f>
        <v/>
      </c>
      <c r="C123" s="83">
        <f>IF(A123="","",'Estoque'!C86)</f>
        <v/>
      </c>
      <c r="D123" s="80">
        <f>IF(A123="","",'Estoque'!E86)</f>
        <v/>
      </c>
      <c r="E123" s="80">
        <f>IF(A123="","",'Estoque'!F86)</f>
        <v/>
      </c>
      <c r="F123" s="80">
        <f>IF(A123="","",D123+E123)</f>
        <v/>
      </c>
      <c r="G123" s="93">
        <f>IF(A123="","",RANK(F123,$F$42:$F$241))</f>
        <v/>
      </c>
      <c r="H123" s="94">
        <f>IF(A123="","",F123-ROW()/1000000)</f>
        <v/>
      </c>
    </row>
    <row r="124">
      <c r="A124" s="82">
        <f>IF('Estoque'!A87="","",'Estoque'!A87)</f>
        <v/>
      </c>
      <c r="B124" s="83">
        <f>IF(A124="","",'Estoque'!B87)</f>
        <v/>
      </c>
      <c r="C124" s="83">
        <f>IF(A124="","",'Estoque'!C87)</f>
        <v/>
      </c>
      <c r="D124" s="80">
        <f>IF(A124="","",'Estoque'!E87)</f>
        <v/>
      </c>
      <c r="E124" s="80">
        <f>IF(A124="","",'Estoque'!F87)</f>
        <v/>
      </c>
      <c r="F124" s="80">
        <f>IF(A124="","",D124+E124)</f>
        <v/>
      </c>
      <c r="G124" s="93">
        <f>IF(A124="","",RANK(F124,$F$42:$F$241))</f>
        <v/>
      </c>
      <c r="H124" s="94">
        <f>IF(A124="","",F124-ROW()/1000000)</f>
        <v/>
      </c>
    </row>
    <row r="125">
      <c r="A125" s="82">
        <f>IF('Estoque'!A88="","",'Estoque'!A88)</f>
        <v/>
      </c>
      <c r="B125" s="83">
        <f>IF(A125="","",'Estoque'!B88)</f>
        <v/>
      </c>
      <c r="C125" s="83">
        <f>IF(A125="","",'Estoque'!C88)</f>
        <v/>
      </c>
      <c r="D125" s="80">
        <f>IF(A125="","",'Estoque'!E88)</f>
        <v/>
      </c>
      <c r="E125" s="80">
        <f>IF(A125="","",'Estoque'!F88)</f>
        <v/>
      </c>
      <c r="F125" s="80">
        <f>IF(A125="","",D125+E125)</f>
        <v/>
      </c>
      <c r="G125" s="93">
        <f>IF(A125="","",RANK(F125,$F$42:$F$241))</f>
        <v/>
      </c>
      <c r="H125" s="94">
        <f>IF(A125="","",F125-ROW()/1000000)</f>
        <v/>
      </c>
    </row>
    <row r="126">
      <c r="A126" s="82">
        <f>IF('Estoque'!A89="","",'Estoque'!A89)</f>
        <v/>
      </c>
      <c r="B126" s="83">
        <f>IF(A126="","",'Estoque'!B89)</f>
        <v/>
      </c>
      <c r="C126" s="83">
        <f>IF(A126="","",'Estoque'!C89)</f>
        <v/>
      </c>
      <c r="D126" s="80">
        <f>IF(A126="","",'Estoque'!E89)</f>
        <v/>
      </c>
      <c r="E126" s="80">
        <f>IF(A126="","",'Estoque'!F89)</f>
        <v/>
      </c>
      <c r="F126" s="80">
        <f>IF(A126="","",D126+E126)</f>
        <v/>
      </c>
      <c r="G126" s="93">
        <f>IF(A126="","",RANK(F126,$F$42:$F$241))</f>
        <v/>
      </c>
      <c r="H126" s="94">
        <f>IF(A126="","",F126-ROW()/1000000)</f>
        <v/>
      </c>
    </row>
    <row r="127">
      <c r="A127" s="82">
        <f>IF('Estoque'!A90="","",'Estoque'!A90)</f>
        <v/>
      </c>
      <c r="B127" s="83">
        <f>IF(A127="","",'Estoque'!B90)</f>
        <v/>
      </c>
      <c r="C127" s="83">
        <f>IF(A127="","",'Estoque'!C90)</f>
        <v/>
      </c>
      <c r="D127" s="80">
        <f>IF(A127="","",'Estoque'!E90)</f>
        <v/>
      </c>
      <c r="E127" s="80">
        <f>IF(A127="","",'Estoque'!F90)</f>
        <v/>
      </c>
      <c r="F127" s="80">
        <f>IF(A127="","",D127+E127)</f>
        <v/>
      </c>
      <c r="G127" s="93">
        <f>IF(A127="","",RANK(F127,$F$42:$F$241))</f>
        <v/>
      </c>
      <c r="H127" s="94">
        <f>IF(A127="","",F127-ROW()/1000000)</f>
        <v/>
      </c>
    </row>
    <row r="128">
      <c r="A128" s="82">
        <f>IF('Estoque'!A91="","",'Estoque'!A91)</f>
        <v/>
      </c>
      <c r="B128" s="83">
        <f>IF(A128="","",'Estoque'!B91)</f>
        <v/>
      </c>
      <c r="C128" s="83">
        <f>IF(A128="","",'Estoque'!C91)</f>
        <v/>
      </c>
      <c r="D128" s="80">
        <f>IF(A128="","",'Estoque'!E91)</f>
        <v/>
      </c>
      <c r="E128" s="80">
        <f>IF(A128="","",'Estoque'!F91)</f>
        <v/>
      </c>
      <c r="F128" s="80">
        <f>IF(A128="","",D128+E128)</f>
        <v/>
      </c>
      <c r="G128" s="93">
        <f>IF(A128="","",RANK(F128,$F$42:$F$241))</f>
        <v/>
      </c>
      <c r="H128" s="94">
        <f>IF(A128="","",F128-ROW()/1000000)</f>
        <v/>
      </c>
    </row>
    <row r="129">
      <c r="A129" s="82">
        <f>IF('Estoque'!A92="","",'Estoque'!A92)</f>
        <v/>
      </c>
      <c r="B129" s="83">
        <f>IF(A129="","",'Estoque'!B92)</f>
        <v/>
      </c>
      <c r="C129" s="83">
        <f>IF(A129="","",'Estoque'!C92)</f>
        <v/>
      </c>
      <c r="D129" s="80">
        <f>IF(A129="","",'Estoque'!E92)</f>
        <v/>
      </c>
      <c r="E129" s="80">
        <f>IF(A129="","",'Estoque'!F92)</f>
        <v/>
      </c>
      <c r="F129" s="80">
        <f>IF(A129="","",D129+E129)</f>
        <v/>
      </c>
      <c r="G129" s="93">
        <f>IF(A129="","",RANK(F129,$F$42:$F$241))</f>
        <v/>
      </c>
      <c r="H129" s="94">
        <f>IF(A129="","",F129-ROW()/1000000)</f>
        <v/>
      </c>
    </row>
    <row r="130">
      <c r="A130" s="82">
        <f>IF('Estoque'!A93="","",'Estoque'!A93)</f>
        <v/>
      </c>
      <c r="B130" s="83">
        <f>IF(A130="","",'Estoque'!B93)</f>
        <v/>
      </c>
      <c r="C130" s="83">
        <f>IF(A130="","",'Estoque'!C93)</f>
        <v/>
      </c>
      <c r="D130" s="80">
        <f>IF(A130="","",'Estoque'!E93)</f>
        <v/>
      </c>
      <c r="E130" s="80">
        <f>IF(A130="","",'Estoque'!F93)</f>
        <v/>
      </c>
      <c r="F130" s="80">
        <f>IF(A130="","",D130+E130)</f>
        <v/>
      </c>
      <c r="G130" s="93">
        <f>IF(A130="","",RANK(F130,$F$42:$F$241))</f>
        <v/>
      </c>
      <c r="H130" s="94">
        <f>IF(A130="","",F130-ROW()/1000000)</f>
        <v/>
      </c>
    </row>
    <row r="131">
      <c r="A131" s="82">
        <f>IF('Estoque'!A94="","",'Estoque'!A94)</f>
        <v/>
      </c>
      <c r="B131" s="83">
        <f>IF(A131="","",'Estoque'!B94)</f>
        <v/>
      </c>
      <c r="C131" s="83">
        <f>IF(A131="","",'Estoque'!C94)</f>
        <v/>
      </c>
      <c r="D131" s="80">
        <f>IF(A131="","",'Estoque'!E94)</f>
        <v/>
      </c>
      <c r="E131" s="80">
        <f>IF(A131="","",'Estoque'!F94)</f>
        <v/>
      </c>
      <c r="F131" s="80">
        <f>IF(A131="","",D131+E131)</f>
        <v/>
      </c>
      <c r="G131" s="93">
        <f>IF(A131="","",RANK(F131,$F$42:$F$241))</f>
        <v/>
      </c>
      <c r="H131" s="94">
        <f>IF(A131="","",F131-ROW()/1000000)</f>
        <v/>
      </c>
    </row>
    <row r="132">
      <c r="A132" s="82">
        <f>IF('Estoque'!A95="","",'Estoque'!A95)</f>
        <v/>
      </c>
      <c r="B132" s="83">
        <f>IF(A132="","",'Estoque'!B95)</f>
        <v/>
      </c>
      <c r="C132" s="83">
        <f>IF(A132="","",'Estoque'!C95)</f>
        <v/>
      </c>
      <c r="D132" s="80">
        <f>IF(A132="","",'Estoque'!E95)</f>
        <v/>
      </c>
      <c r="E132" s="80">
        <f>IF(A132="","",'Estoque'!F95)</f>
        <v/>
      </c>
      <c r="F132" s="80">
        <f>IF(A132="","",D132+E132)</f>
        <v/>
      </c>
      <c r="G132" s="93">
        <f>IF(A132="","",RANK(F132,$F$42:$F$241))</f>
        <v/>
      </c>
      <c r="H132" s="94">
        <f>IF(A132="","",F132-ROW()/1000000)</f>
        <v/>
      </c>
    </row>
    <row r="133">
      <c r="A133" s="82">
        <f>IF('Estoque'!A96="","",'Estoque'!A96)</f>
        <v/>
      </c>
      <c r="B133" s="83">
        <f>IF(A133="","",'Estoque'!B96)</f>
        <v/>
      </c>
      <c r="C133" s="83">
        <f>IF(A133="","",'Estoque'!C96)</f>
        <v/>
      </c>
      <c r="D133" s="80">
        <f>IF(A133="","",'Estoque'!E96)</f>
        <v/>
      </c>
      <c r="E133" s="80">
        <f>IF(A133="","",'Estoque'!F96)</f>
        <v/>
      </c>
      <c r="F133" s="80">
        <f>IF(A133="","",D133+E133)</f>
        <v/>
      </c>
      <c r="G133" s="93">
        <f>IF(A133="","",RANK(F133,$F$42:$F$241))</f>
        <v/>
      </c>
      <c r="H133" s="94">
        <f>IF(A133="","",F133-ROW()/1000000)</f>
        <v/>
      </c>
    </row>
    <row r="134">
      <c r="A134" s="82">
        <f>IF('Estoque'!A97="","",'Estoque'!A97)</f>
        <v/>
      </c>
      <c r="B134" s="83">
        <f>IF(A134="","",'Estoque'!B97)</f>
        <v/>
      </c>
      <c r="C134" s="83">
        <f>IF(A134="","",'Estoque'!C97)</f>
        <v/>
      </c>
      <c r="D134" s="80">
        <f>IF(A134="","",'Estoque'!E97)</f>
        <v/>
      </c>
      <c r="E134" s="80">
        <f>IF(A134="","",'Estoque'!F97)</f>
        <v/>
      </c>
      <c r="F134" s="80">
        <f>IF(A134="","",D134+E134)</f>
        <v/>
      </c>
      <c r="G134" s="93">
        <f>IF(A134="","",RANK(F134,$F$42:$F$241))</f>
        <v/>
      </c>
      <c r="H134" s="94">
        <f>IF(A134="","",F134-ROW()/1000000)</f>
        <v/>
      </c>
    </row>
    <row r="135">
      <c r="A135" s="82">
        <f>IF('Estoque'!A98="","",'Estoque'!A98)</f>
        <v/>
      </c>
      <c r="B135" s="83">
        <f>IF(A135="","",'Estoque'!B98)</f>
        <v/>
      </c>
      <c r="C135" s="83">
        <f>IF(A135="","",'Estoque'!C98)</f>
        <v/>
      </c>
      <c r="D135" s="80">
        <f>IF(A135="","",'Estoque'!E98)</f>
        <v/>
      </c>
      <c r="E135" s="80">
        <f>IF(A135="","",'Estoque'!F98)</f>
        <v/>
      </c>
      <c r="F135" s="80">
        <f>IF(A135="","",D135+E135)</f>
        <v/>
      </c>
      <c r="G135" s="93">
        <f>IF(A135="","",RANK(F135,$F$42:$F$241))</f>
        <v/>
      </c>
      <c r="H135" s="94">
        <f>IF(A135="","",F135-ROW()/1000000)</f>
        <v/>
      </c>
    </row>
    <row r="136">
      <c r="A136" s="82">
        <f>IF('Estoque'!A99="","",'Estoque'!A99)</f>
        <v/>
      </c>
      <c r="B136" s="83">
        <f>IF(A136="","",'Estoque'!B99)</f>
        <v/>
      </c>
      <c r="C136" s="83">
        <f>IF(A136="","",'Estoque'!C99)</f>
        <v/>
      </c>
      <c r="D136" s="80">
        <f>IF(A136="","",'Estoque'!E99)</f>
        <v/>
      </c>
      <c r="E136" s="80">
        <f>IF(A136="","",'Estoque'!F99)</f>
        <v/>
      </c>
      <c r="F136" s="80">
        <f>IF(A136="","",D136+E136)</f>
        <v/>
      </c>
      <c r="G136" s="93">
        <f>IF(A136="","",RANK(F136,$F$42:$F$241))</f>
        <v/>
      </c>
      <c r="H136" s="94">
        <f>IF(A136="","",F136-ROW()/1000000)</f>
        <v/>
      </c>
    </row>
    <row r="137">
      <c r="A137" s="82">
        <f>IF('Estoque'!A100="","",'Estoque'!A100)</f>
        <v/>
      </c>
      <c r="B137" s="83">
        <f>IF(A137="","",'Estoque'!B100)</f>
        <v/>
      </c>
      <c r="C137" s="83">
        <f>IF(A137="","",'Estoque'!C100)</f>
        <v/>
      </c>
      <c r="D137" s="80">
        <f>IF(A137="","",'Estoque'!E100)</f>
        <v/>
      </c>
      <c r="E137" s="80">
        <f>IF(A137="","",'Estoque'!F100)</f>
        <v/>
      </c>
      <c r="F137" s="80">
        <f>IF(A137="","",D137+E137)</f>
        <v/>
      </c>
      <c r="G137" s="93">
        <f>IF(A137="","",RANK(F137,$F$42:$F$241))</f>
        <v/>
      </c>
      <c r="H137" s="94">
        <f>IF(A137="","",F137-ROW()/1000000)</f>
        <v/>
      </c>
    </row>
    <row r="138">
      <c r="A138" s="82">
        <f>IF('Estoque'!A101="","",'Estoque'!A101)</f>
        <v/>
      </c>
      <c r="B138" s="83">
        <f>IF(A138="","",'Estoque'!B101)</f>
        <v/>
      </c>
      <c r="C138" s="83">
        <f>IF(A138="","",'Estoque'!C101)</f>
        <v/>
      </c>
      <c r="D138" s="80">
        <f>IF(A138="","",'Estoque'!E101)</f>
        <v/>
      </c>
      <c r="E138" s="80">
        <f>IF(A138="","",'Estoque'!F101)</f>
        <v/>
      </c>
      <c r="F138" s="80">
        <f>IF(A138="","",D138+E138)</f>
        <v/>
      </c>
      <c r="G138" s="93">
        <f>IF(A138="","",RANK(F138,$F$42:$F$241))</f>
        <v/>
      </c>
      <c r="H138" s="94">
        <f>IF(A138="","",F138-ROW()/1000000)</f>
        <v/>
      </c>
    </row>
    <row r="139">
      <c r="A139" s="82">
        <f>IF('Estoque'!A102="","",'Estoque'!A102)</f>
        <v/>
      </c>
      <c r="B139" s="83">
        <f>IF(A139="","",'Estoque'!B102)</f>
        <v/>
      </c>
      <c r="C139" s="83">
        <f>IF(A139="","",'Estoque'!C102)</f>
        <v/>
      </c>
      <c r="D139" s="80">
        <f>IF(A139="","",'Estoque'!E102)</f>
        <v/>
      </c>
      <c r="E139" s="80">
        <f>IF(A139="","",'Estoque'!F102)</f>
        <v/>
      </c>
      <c r="F139" s="80">
        <f>IF(A139="","",D139+E139)</f>
        <v/>
      </c>
      <c r="G139" s="93">
        <f>IF(A139="","",RANK(F139,$F$42:$F$241))</f>
        <v/>
      </c>
      <c r="H139" s="94">
        <f>IF(A139="","",F139-ROW()/1000000)</f>
        <v/>
      </c>
    </row>
    <row r="140">
      <c r="A140" s="82">
        <f>IF('Estoque'!A103="","",'Estoque'!A103)</f>
        <v/>
      </c>
      <c r="B140" s="83">
        <f>IF(A140="","",'Estoque'!B103)</f>
        <v/>
      </c>
      <c r="C140" s="83">
        <f>IF(A140="","",'Estoque'!C103)</f>
        <v/>
      </c>
      <c r="D140" s="80">
        <f>IF(A140="","",'Estoque'!E103)</f>
        <v/>
      </c>
      <c r="E140" s="80">
        <f>IF(A140="","",'Estoque'!F103)</f>
        <v/>
      </c>
      <c r="F140" s="80">
        <f>IF(A140="","",D140+E140)</f>
        <v/>
      </c>
      <c r="G140" s="93">
        <f>IF(A140="","",RANK(F140,$F$42:$F$241))</f>
        <v/>
      </c>
      <c r="H140" s="94">
        <f>IF(A140="","",F140-ROW()/1000000)</f>
        <v/>
      </c>
    </row>
    <row r="141">
      <c r="A141" s="82">
        <f>IF('Estoque'!A104="","",'Estoque'!A104)</f>
        <v/>
      </c>
      <c r="B141" s="83">
        <f>IF(A141="","",'Estoque'!B104)</f>
        <v/>
      </c>
      <c r="C141" s="83">
        <f>IF(A141="","",'Estoque'!C104)</f>
        <v/>
      </c>
      <c r="D141" s="80">
        <f>IF(A141="","",'Estoque'!E104)</f>
        <v/>
      </c>
      <c r="E141" s="80">
        <f>IF(A141="","",'Estoque'!F104)</f>
        <v/>
      </c>
      <c r="F141" s="80">
        <f>IF(A141="","",D141+E141)</f>
        <v/>
      </c>
      <c r="G141" s="93">
        <f>IF(A141="","",RANK(F141,$F$42:$F$241))</f>
        <v/>
      </c>
      <c r="H141" s="94">
        <f>IF(A141="","",F141-ROW()/1000000)</f>
        <v/>
      </c>
    </row>
    <row r="142">
      <c r="A142" s="82">
        <f>IF('Estoque'!A105="","",'Estoque'!A105)</f>
        <v/>
      </c>
      <c r="B142" s="83">
        <f>IF(A142="","",'Estoque'!B105)</f>
        <v/>
      </c>
      <c r="C142" s="83">
        <f>IF(A142="","",'Estoque'!C105)</f>
        <v/>
      </c>
      <c r="D142" s="80">
        <f>IF(A142="","",'Estoque'!E105)</f>
        <v/>
      </c>
      <c r="E142" s="80">
        <f>IF(A142="","",'Estoque'!F105)</f>
        <v/>
      </c>
      <c r="F142" s="80">
        <f>IF(A142="","",D142+E142)</f>
        <v/>
      </c>
      <c r="G142" s="93">
        <f>IF(A142="","",RANK(F142,$F$42:$F$241))</f>
        <v/>
      </c>
      <c r="H142" s="94">
        <f>IF(A142="","",F142-ROW()/1000000)</f>
        <v/>
      </c>
    </row>
    <row r="143">
      <c r="A143" s="82">
        <f>IF('Estoque'!A106="","",'Estoque'!A106)</f>
        <v/>
      </c>
      <c r="B143" s="83">
        <f>IF(A143="","",'Estoque'!B106)</f>
        <v/>
      </c>
      <c r="C143" s="83">
        <f>IF(A143="","",'Estoque'!C106)</f>
        <v/>
      </c>
      <c r="D143" s="80">
        <f>IF(A143="","",'Estoque'!E106)</f>
        <v/>
      </c>
      <c r="E143" s="80">
        <f>IF(A143="","",'Estoque'!F106)</f>
        <v/>
      </c>
      <c r="F143" s="80">
        <f>IF(A143="","",D143+E143)</f>
        <v/>
      </c>
      <c r="G143" s="93">
        <f>IF(A143="","",RANK(F143,$F$42:$F$241))</f>
        <v/>
      </c>
      <c r="H143" s="94">
        <f>IF(A143="","",F143-ROW()/1000000)</f>
        <v/>
      </c>
    </row>
    <row r="144">
      <c r="A144" s="82">
        <f>IF('Estoque'!A107="","",'Estoque'!A107)</f>
        <v/>
      </c>
      <c r="B144" s="83">
        <f>IF(A144="","",'Estoque'!B107)</f>
        <v/>
      </c>
      <c r="C144" s="83">
        <f>IF(A144="","",'Estoque'!C107)</f>
        <v/>
      </c>
      <c r="D144" s="80">
        <f>IF(A144="","",'Estoque'!E107)</f>
        <v/>
      </c>
      <c r="E144" s="80">
        <f>IF(A144="","",'Estoque'!F107)</f>
        <v/>
      </c>
      <c r="F144" s="80">
        <f>IF(A144="","",D144+E144)</f>
        <v/>
      </c>
      <c r="G144" s="93">
        <f>IF(A144="","",RANK(F144,$F$42:$F$241))</f>
        <v/>
      </c>
      <c r="H144" s="94">
        <f>IF(A144="","",F144-ROW()/1000000)</f>
        <v/>
      </c>
    </row>
    <row r="145">
      <c r="A145" s="82">
        <f>IF('Estoque'!A108="","",'Estoque'!A108)</f>
        <v/>
      </c>
      <c r="B145" s="83">
        <f>IF(A145="","",'Estoque'!B108)</f>
        <v/>
      </c>
      <c r="C145" s="83">
        <f>IF(A145="","",'Estoque'!C108)</f>
        <v/>
      </c>
      <c r="D145" s="80">
        <f>IF(A145="","",'Estoque'!E108)</f>
        <v/>
      </c>
      <c r="E145" s="80">
        <f>IF(A145="","",'Estoque'!F108)</f>
        <v/>
      </c>
      <c r="F145" s="80">
        <f>IF(A145="","",D145+E145)</f>
        <v/>
      </c>
      <c r="G145" s="93">
        <f>IF(A145="","",RANK(F145,$F$42:$F$241))</f>
        <v/>
      </c>
      <c r="H145" s="94">
        <f>IF(A145="","",F145-ROW()/1000000)</f>
        <v/>
      </c>
    </row>
    <row r="146">
      <c r="A146" s="82">
        <f>IF('Estoque'!A109="","",'Estoque'!A109)</f>
        <v/>
      </c>
      <c r="B146" s="83">
        <f>IF(A146="","",'Estoque'!B109)</f>
        <v/>
      </c>
      <c r="C146" s="83">
        <f>IF(A146="","",'Estoque'!C109)</f>
        <v/>
      </c>
      <c r="D146" s="80">
        <f>IF(A146="","",'Estoque'!E109)</f>
        <v/>
      </c>
      <c r="E146" s="80">
        <f>IF(A146="","",'Estoque'!F109)</f>
        <v/>
      </c>
      <c r="F146" s="80">
        <f>IF(A146="","",D146+E146)</f>
        <v/>
      </c>
      <c r="G146" s="93">
        <f>IF(A146="","",RANK(F146,$F$42:$F$241))</f>
        <v/>
      </c>
      <c r="H146" s="94">
        <f>IF(A146="","",F146-ROW()/1000000)</f>
        <v/>
      </c>
    </row>
    <row r="147">
      <c r="A147" s="82">
        <f>IF('Estoque'!A110="","",'Estoque'!A110)</f>
        <v/>
      </c>
      <c r="B147" s="83">
        <f>IF(A147="","",'Estoque'!B110)</f>
        <v/>
      </c>
      <c r="C147" s="83">
        <f>IF(A147="","",'Estoque'!C110)</f>
        <v/>
      </c>
      <c r="D147" s="80">
        <f>IF(A147="","",'Estoque'!E110)</f>
        <v/>
      </c>
      <c r="E147" s="80">
        <f>IF(A147="","",'Estoque'!F110)</f>
        <v/>
      </c>
      <c r="F147" s="80">
        <f>IF(A147="","",D147+E147)</f>
        <v/>
      </c>
      <c r="G147" s="93">
        <f>IF(A147="","",RANK(F147,$F$42:$F$241))</f>
        <v/>
      </c>
      <c r="H147" s="94">
        <f>IF(A147="","",F147-ROW()/1000000)</f>
        <v/>
      </c>
    </row>
    <row r="148">
      <c r="A148" s="82">
        <f>IF('Estoque'!A111="","",'Estoque'!A111)</f>
        <v/>
      </c>
      <c r="B148" s="83">
        <f>IF(A148="","",'Estoque'!B111)</f>
        <v/>
      </c>
      <c r="C148" s="83">
        <f>IF(A148="","",'Estoque'!C111)</f>
        <v/>
      </c>
      <c r="D148" s="80">
        <f>IF(A148="","",'Estoque'!E111)</f>
        <v/>
      </c>
      <c r="E148" s="80">
        <f>IF(A148="","",'Estoque'!F111)</f>
        <v/>
      </c>
      <c r="F148" s="80">
        <f>IF(A148="","",D148+E148)</f>
        <v/>
      </c>
      <c r="G148" s="93">
        <f>IF(A148="","",RANK(F148,$F$42:$F$241))</f>
        <v/>
      </c>
      <c r="H148" s="94">
        <f>IF(A148="","",F148-ROW()/1000000)</f>
        <v/>
      </c>
    </row>
    <row r="149">
      <c r="A149" s="82">
        <f>IF('Estoque'!A112="","",'Estoque'!A112)</f>
        <v/>
      </c>
      <c r="B149" s="83">
        <f>IF(A149="","",'Estoque'!B112)</f>
        <v/>
      </c>
      <c r="C149" s="83">
        <f>IF(A149="","",'Estoque'!C112)</f>
        <v/>
      </c>
      <c r="D149" s="80">
        <f>IF(A149="","",'Estoque'!E112)</f>
        <v/>
      </c>
      <c r="E149" s="80">
        <f>IF(A149="","",'Estoque'!F112)</f>
        <v/>
      </c>
      <c r="F149" s="80">
        <f>IF(A149="","",D149+E149)</f>
        <v/>
      </c>
      <c r="G149" s="93">
        <f>IF(A149="","",RANK(F149,$F$42:$F$241))</f>
        <v/>
      </c>
      <c r="H149" s="94">
        <f>IF(A149="","",F149-ROW()/1000000)</f>
        <v/>
      </c>
    </row>
    <row r="150">
      <c r="A150" s="82">
        <f>IF('Estoque'!A113="","",'Estoque'!A113)</f>
        <v/>
      </c>
      <c r="B150" s="83">
        <f>IF(A150="","",'Estoque'!B113)</f>
        <v/>
      </c>
      <c r="C150" s="83">
        <f>IF(A150="","",'Estoque'!C113)</f>
        <v/>
      </c>
      <c r="D150" s="80">
        <f>IF(A150="","",'Estoque'!E113)</f>
        <v/>
      </c>
      <c r="E150" s="80">
        <f>IF(A150="","",'Estoque'!F113)</f>
        <v/>
      </c>
      <c r="F150" s="80">
        <f>IF(A150="","",D150+E150)</f>
        <v/>
      </c>
      <c r="G150" s="93">
        <f>IF(A150="","",RANK(F150,$F$42:$F$241))</f>
        <v/>
      </c>
      <c r="H150" s="94">
        <f>IF(A150="","",F150-ROW()/1000000)</f>
        <v/>
      </c>
    </row>
    <row r="151">
      <c r="A151" s="82">
        <f>IF('Estoque'!A114="","",'Estoque'!A114)</f>
        <v/>
      </c>
      <c r="B151" s="83">
        <f>IF(A151="","",'Estoque'!B114)</f>
        <v/>
      </c>
      <c r="C151" s="83">
        <f>IF(A151="","",'Estoque'!C114)</f>
        <v/>
      </c>
      <c r="D151" s="80">
        <f>IF(A151="","",'Estoque'!E114)</f>
        <v/>
      </c>
      <c r="E151" s="80">
        <f>IF(A151="","",'Estoque'!F114)</f>
        <v/>
      </c>
      <c r="F151" s="80">
        <f>IF(A151="","",D151+E151)</f>
        <v/>
      </c>
      <c r="G151" s="93">
        <f>IF(A151="","",RANK(F151,$F$42:$F$241))</f>
        <v/>
      </c>
      <c r="H151" s="94">
        <f>IF(A151="","",F151-ROW()/1000000)</f>
        <v/>
      </c>
    </row>
    <row r="152">
      <c r="A152" s="82">
        <f>IF('Estoque'!A115="","",'Estoque'!A115)</f>
        <v/>
      </c>
      <c r="B152" s="83">
        <f>IF(A152="","",'Estoque'!B115)</f>
        <v/>
      </c>
      <c r="C152" s="83">
        <f>IF(A152="","",'Estoque'!C115)</f>
        <v/>
      </c>
      <c r="D152" s="80">
        <f>IF(A152="","",'Estoque'!E115)</f>
        <v/>
      </c>
      <c r="E152" s="80">
        <f>IF(A152="","",'Estoque'!F115)</f>
        <v/>
      </c>
      <c r="F152" s="80">
        <f>IF(A152="","",D152+E152)</f>
        <v/>
      </c>
      <c r="G152" s="93">
        <f>IF(A152="","",RANK(F152,$F$42:$F$241))</f>
        <v/>
      </c>
      <c r="H152" s="94">
        <f>IF(A152="","",F152-ROW()/1000000)</f>
        <v/>
      </c>
    </row>
    <row r="153">
      <c r="A153" s="82">
        <f>IF('Estoque'!A116="","",'Estoque'!A116)</f>
        <v/>
      </c>
      <c r="B153" s="83">
        <f>IF(A153="","",'Estoque'!B116)</f>
        <v/>
      </c>
      <c r="C153" s="83">
        <f>IF(A153="","",'Estoque'!C116)</f>
        <v/>
      </c>
      <c r="D153" s="80">
        <f>IF(A153="","",'Estoque'!E116)</f>
        <v/>
      </c>
      <c r="E153" s="80">
        <f>IF(A153="","",'Estoque'!F116)</f>
        <v/>
      </c>
      <c r="F153" s="80">
        <f>IF(A153="","",D153+E153)</f>
        <v/>
      </c>
      <c r="G153" s="93">
        <f>IF(A153="","",RANK(F153,$F$42:$F$241))</f>
        <v/>
      </c>
      <c r="H153" s="94">
        <f>IF(A153="","",F153-ROW()/1000000)</f>
        <v/>
      </c>
    </row>
    <row r="154">
      <c r="A154" s="82">
        <f>IF('Estoque'!A117="","",'Estoque'!A117)</f>
        <v/>
      </c>
      <c r="B154" s="83">
        <f>IF(A154="","",'Estoque'!B117)</f>
        <v/>
      </c>
      <c r="C154" s="83">
        <f>IF(A154="","",'Estoque'!C117)</f>
        <v/>
      </c>
      <c r="D154" s="80">
        <f>IF(A154="","",'Estoque'!E117)</f>
        <v/>
      </c>
      <c r="E154" s="80">
        <f>IF(A154="","",'Estoque'!F117)</f>
        <v/>
      </c>
      <c r="F154" s="80">
        <f>IF(A154="","",D154+E154)</f>
        <v/>
      </c>
      <c r="G154" s="93">
        <f>IF(A154="","",RANK(F154,$F$42:$F$241))</f>
        <v/>
      </c>
      <c r="H154" s="94">
        <f>IF(A154="","",F154-ROW()/1000000)</f>
        <v/>
      </c>
    </row>
    <row r="155">
      <c r="A155" s="82">
        <f>IF('Estoque'!A118="","",'Estoque'!A118)</f>
        <v/>
      </c>
      <c r="B155" s="83">
        <f>IF(A155="","",'Estoque'!B118)</f>
        <v/>
      </c>
      <c r="C155" s="83">
        <f>IF(A155="","",'Estoque'!C118)</f>
        <v/>
      </c>
      <c r="D155" s="80">
        <f>IF(A155="","",'Estoque'!E118)</f>
        <v/>
      </c>
      <c r="E155" s="80">
        <f>IF(A155="","",'Estoque'!F118)</f>
        <v/>
      </c>
      <c r="F155" s="80">
        <f>IF(A155="","",D155+E155)</f>
        <v/>
      </c>
      <c r="G155" s="93">
        <f>IF(A155="","",RANK(F155,$F$42:$F$241))</f>
        <v/>
      </c>
      <c r="H155" s="94">
        <f>IF(A155="","",F155-ROW()/1000000)</f>
        <v/>
      </c>
    </row>
    <row r="156">
      <c r="A156" s="82">
        <f>IF('Estoque'!A119="","",'Estoque'!A119)</f>
        <v/>
      </c>
      <c r="B156" s="83">
        <f>IF(A156="","",'Estoque'!B119)</f>
        <v/>
      </c>
      <c r="C156" s="83">
        <f>IF(A156="","",'Estoque'!C119)</f>
        <v/>
      </c>
      <c r="D156" s="80">
        <f>IF(A156="","",'Estoque'!E119)</f>
        <v/>
      </c>
      <c r="E156" s="80">
        <f>IF(A156="","",'Estoque'!F119)</f>
        <v/>
      </c>
      <c r="F156" s="80">
        <f>IF(A156="","",D156+E156)</f>
        <v/>
      </c>
      <c r="G156" s="93">
        <f>IF(A156="","",RANK(F156,$F$42:$F$241))</f>
        <v/>
      </c>
      <c r="H156" s="94">
        <f>IF(A156="","",F156-ROW()/1000000)</f>
        <v/>
      </c>
    </row>
    <row r="157">
      <c r="A157" s="82">
        <f>IF('Estoque'!A120="","",'Estoque'!A120)</f>
        <v/>
      </c>
      <c r="B157" s="83">
        <f>IF(A157="","",'Estoque'!B120)</f>
        <v/>
      </c>
      <c r="C157" s="83">
        <f>IF(A157="","",'Estoque'!C120)</f>
        <v/>
      </c>
      <c r="D157" s="80">
        <f>IF(A157="","",'Estoque'!E120)</f>
        <v/>
      </c>
      <c r="E157" s="80">
        <f>IF(A157="","",'Estoque'!F120)</f>
        <v/>
      </c>
      <c r="F157" s="80">
        <f>IF(A157="","",D157+E157)</f>
        <v/>
      </c>
      <c r="G157" s="93">
        <f>IF(A157="","",RANK(F157,$F$42:$F$241))</f>
        <v/>
      </c>
      <c r="H157" s="94">
        <f>IF(A157="","",F157-ROW()/1000000)</f>
        <v/>
      </c>
    </row>
    <row r="158">
      <c r="A158" s="82">
        <f>IF('Estoque'!A121="","",'Estoque'!A121)</f>
        <v/>
      </c>
      <c r="B158" s="83">
        <f>IF(A158="","",'Estoque'!B121)</f>
        <v/>
      </c>
      <c r="C158" s="83">
        <f>IF(A158="","",'Estoque'!C121)</f>
        <v/>
      </c>
      <c r="D158" s="80">
        <f>IF(A158="","",'Estoque'!E121)</f>
        <v/>
      </c>
      <c r="E158" s="80">
        <f>IF(A158="","",'Estoque'!F121)</f>
        <v/>
      </c>
      <c r="F158" s="80">
        <f>IF(A158="","",D158+E158)</f>
        <v/>
      </c>
      <c r="G158" s="93">
        <f>IF(A158="","",RANK(F158,$F$42:$F$241))</f>
        <v/>
      </c>
      <c r="H158" s="94">
        <f>IF(A158="","",F158-ROW()/1000000)</f>
        <v/>
      </c>
    </row>
    <row r="159">
      <c r="A159" s="82">
        <f>IF('Estoque'!A122="","",'Estoque'!A122)</f>
        <v/>
      </c>
      <c r="B159" s="83">
        <f>IF(A159="","",'Estoque'!B122)</f>
        <v/>
      </c>
      <c r="C159" s="83">
        <f>IF(A159="","",'Estoque'!C122)</f>
        <v/>
      </c>
      <c r="D159" s="80">
        <f>IF(A159="","",'Estoque'!E122)</f>
        <v/>
      </c>
      <c r="E159" s="80">
        <f>IF(A159="","",'Estoque'!F122)</f>
        <v/>
      </c>
      <c r="F159" s="80">
        <f>IF(A159="","",D159+E159)</f>
        <v/>
      </c>
      <c r="G159" s="93">
        <f>IF(A159="","",RANK(F159,$F$42:$F$241))</f>
        <v/>
      </c>
      <c r="H159" s="94">
        <f>IF(A159="","",F159-ROW()/1000000)</f>
        <v/>
      </c>
    </row>
    <row r="160">
      <c r="A160" s="82">
        <f>IF('Estoque'!A123="","",'Estoque'!A123)</f>
        <v/>
      </c>
      <c r="B160" s="83">
        <f>IF(A160="","",'Estoque'!B123)</f>
        <v/>
      </c>
      <c r="C160" s="83">
        <f>IF(A160="","",'Estoque'!C123)</f>
        <v/>
      </c>
      <c r="D160" s="80">
        <f>IF(A160="","",'Estoque'!E123)</f>
        <v/>
      </c>
      <c r="E160" s="80">
        <f>IF(A160="","",'Estoque'!F123)</f>
        <v/>
      </c>
      <c r="F160" s="80">
        <f>IF(A160="","",D160+E160)</f>
        <v/>
      </c>
      <c r="G160" s="93">
        <f>IF(A160="","",RANK(F160,$F$42:$F$241))</f>
        <v/>
      </c>
      <c r="H160" s="94">
        <f>IF(A160="","",F160-ROW()/1000000)</f>
        <v/>
      </c>
    </row>
    <row r="161">
      <c r="A161" s="82">
        <f>IF('Estoque'!A124="","",'Estoque'!A124)</f>
        <v/>
      </c>
      <c r="B161" s="83">
        <f>IF(A161="","",'Estoque'!B124)</f>
        <v/>
      </c>
      <c r="C161" s="83">
        <f>IF(A161="","",'Estoque'!C124)</f>
        <v/>
      </c>
      <c r="D161" s="80">
        <f>IF(A161="","",'Estoque'!E124)</f>
        <v/>
      </c>
      <c r="E161" s="80">
        <f>IF(A161="","",'Estoque'!F124)</f>
        <v/>
      </c>
      <c r="F161" s="80">
        <f>IF(A161="","",D161+E161)</f>
        <v/>
      </c>
      <c r="G161" s="93">
        <f>IF(A161="","",RANK(F161,$F$42:$F$241))</f>
        <v/>
      </c>
      <c r="H161" s="94">
        <f>IF(A161="","",F161-ROW()/1000000)</f>
        <v/>
      </c>
    </row>
    <row r="162">
      <c r="A162" s="82">
        <f>IF('Estoque'!A125="","",'Estoque'!A125)</f>
        <v/>
      </c>
      <c r="B162" s="83">
        <f>IF(A162="","",'Estoque'!B125)</f>
        <v/>
      </c>
      <c r="C162" s="83">
        <f>IF(A162="","",'Estoque'!C125)</f>
        <v/>
      </c>
      <c r="D162" s="80">
        <f>IF(A162="","",'Estoque'!E125)</f>
        <v/>
      </c>
      <c r="E162" s="80">
        <f>IF(A162="","",'Estoque'!F125)</f>
        <v/>
      </c>
      <c r="F162" s="80">
        <f>IF(A162="","",D162+E162)</f>
        <v/>
      </c>
      <c r="G162" s="93">
        <f>IF(A162="","",RANK(F162,$F$42:$F$241))</f>
        <v/>
      </c>
      <c r="H162" s="94">
        <f>IF(A162="","",F162-ROW()/1000000)</f>
        <v/>
      </c>
    </row>
    <row r="163">
      <c r="A163" s="82">
        <f>IF('Estoque'!A126="","",'Estoque'!A126)</f>
        <v/>
      </c>
      <c r="B163" s="83">
        <f>IF(A163="","",'Estoque'!B126)</f>
        <v/>
      </c>
      <c r="C163" s="83">
        <f>IF(A163="","",'Estoque'!C126)</f>
        <v/>
      </c>
      <c r="D163" s="80">
        <f>IF(A163="","",'Estoque'!E126)</f>
        <v/>
      </c>
      <c r="E163" s="80">
        <f>IF(A163="","",'Estoque'!F126)</f>
        <v/>
      </c>
      <c r="F163" s="80">
        <f>IF(A163="","",D163+E163)</f>
        <v/>
      </c>
      <c r="G163" s="93">
        <f>IF(A163="","",RANK(F163,$F$42:$F$241))</f>
        <v/>
      </c>
      <c r="H163" s="94">
        <f>IF(A163="","",F163-ROW()/1000000)</f>
        <v/>
      </c>
    </row>
    <row r="164">
      <c r="A164" s="82">
        <f>IF('Estoque'!A127="","",'Estoque'!A127)</f>
        <v/>
      </c>
      <c r="B164" s="83">
        <f>IF(A164="","",'Estoque'!B127)</f>
        <v/>
      </c>
      <c r="C164" s="83">
        <f>IF(A164="","",'Estoque'!C127)</f>
        <v/>
      </c>
      <c r="D164" s="80">
        <f>IF(A164="","",'Estoque'!E127)</f>
        <v/>
      </c>
      <c r="E164" s="80">
        <f>IF(A164="","",'Estoque'!F127)</f>
        <v/>
      </c>
      <c r="F164" s="80">
        <f>IF(A164="","",D164+E164)</f>
        <v/>
      </c>
      <c r="G164" s="93">
        <f>IF(A164="","",RANK(F164,$F$42:$F$241))</f>
        <v/>
      </c>
      <c r="H164" s="94">
        <f>IF(A164="","",F164-ROW()/1000000)</f>
        <v/>
      </c>
    </row>
    <row r="165">
      <c r="A165" s="82">
        <f>IF('Estoque'!A128="","",'Estoque'!A128)</f>
        <v/>
      </c>
      <c r="B165" s="83">
        <f>IF(A165="","",'Estoque'!B128)</f>
        <v/>
      </c>
      <c r="C165" s="83">
        <f>IF(A165="","",'Estoque'!C128)</f>
        <v/>
      </c>
      <c r="D165" s="80">
        <f>IF(A165="","",'Estoque'!E128)</f>
        <v/>
      </c>
      <c r="E165" s="80">
        <f>IF(A165="","",'Estoque'!F128)</f>
        <v/>
      </c>
      <c r="F165" s="80">
        <f>IF(A165="","",D165+E165)</f>
        <v/>
      </c>
      <c r="G165" s="93">
        <f>IF(A165="","",RANK(F165,$F$42:$F$241))</f>
        <v/>
      </c>
      <c r="H165" s="94">
        <f>IF(A165="","",F165-ROW()/1000000)</f>
        <v/>
      </c>
    </row>
    <row r="166">
      <c r="A166" s="82">
        <f>IF('Estoque'!A129="","",'Estoque'!A129)</f>
        <v/>
      </c>
      <c r="B166" s="83">
        <f>IF(A166="","",'Estoque'!B129)</f>
        <v/>
      </c>
      <c r="C166" s="83">
        <f>IF(A166="","",'Estoque'!C129)</f>
        <v/>
      </c>
      <c r="D166" s="80">
        <f>IF(A166="","",'Estoque'!E129)</f>
        <v/>
      </c>
      <c r="E166" s="80">
        <f>IF(A166="","",'Estoque'!F129)</f>
        <v/>
      </c>
      <c r="F166" s="80">
        <f>IF(A166="","",D166+E166)</f>
        <v/>
      </c>
      <c r="G166" s="93">
        <f>IF(A166="","",RANK(F166,$F$42:$F$241))</f>
        <v/>
      </c>
      <c r="H166" s="94">
        <f>IF(A166="","",F166-ROW()/1000000)</f>
        <v/>
      </c>
    </row>
    <row r="167">
      <c r="A167" s="82">
        <f>IF('Estoque'!A130="","",'Estoque'!A130)</f>
        <v/>
      </c>
      <c r="B167" s="83">
        <f>IF(A167="","",'Estoque'!B130)</f>
        <v/>
      </c>
      <c r="C167" s="83">
        <f>IF(A167="","",'Estoque'!C130)</f>
        <v/>
      </c>
      <c r="D167" s="80">
        <f>IF(A167="","",'Estoque'!E130)</f>
        <v/>
      </c>
      <c r="E167" s="80">
        <f>IF(A167="","",'Estoque'!F130)</f>
        <v/>
      </c>
      <c r="F167" s="80">
        <f>IF(A167="","",D167+E167)</f>
        <v/>
      </c>
      <c r="G167" s="93">
        <f>IF(A167="","",RANK(F167,$F$42:$F$241))</f>
        <v/>
      </c>
      <c r="H167" s="94">
        <f>IF(A167="","",F167-ROW()/1000000)</f>
        <v/>
      </c>
    </row>
    <row r="168">
      <c r="A168" s="82">
        <f>IF('Estoque'!A131="","",'Estoque'!A131)</f>
        <v/>
      </c>
      <c r="B168" s="83">
        <f>IF(A168="","",'Estoque'!B131)</f>
        <v/>
      </c>
      <c r="C168" s="83">
        <f>IF(A168="","",'Estoque'!C131)</f>
        <v/>
      </c>
      <c r="D168" s="80">
        <f>IF(A168="","",'Estoque'!E131)</f>
        <v/>
      </c>
      <c r="E168" s="80">
        <f>IF(A168="","",'Estoque'!F131)</f>
        <v/>
      </c>
      <c r="F168" s="80">
        <f>IF(A168="","",D168+E168)</f>
        <v/>
      </c>
      <c r="G168" s="93">
        <f>IF(A168="","",RANK(F168,$F$42:$F$241))</f>
        <v/>
      </c>
      <c r="H168" s="94">
        <f>IF(A168="","",F168-ROW()/1000000)</f>
        <v/>
      </c>
    </row>
    <row r="169">
      <c r="A169" s="82">
        <f>IF('Estoque'!A132="","",'Estoque'!A132)</f>
        <v/>
      </c>
      <c r="B169" s="83">
        <f>IF(A169="","",'Estoque'!B132)</f>
        <v/>
      </c>
      <c r="C169" s="83">
        <f>IF(A169="","",'Estoque'!C132)</f>
        <v/>
      </c>
      <c r="D169" s="80">
        <f>IF(A169="","",'Estoque'!E132)</f>
        <v/>
      </c>
      <c r="E169" s="80">
        <f>IF(A169="","",'Estoque'!F132)</f>
        <v/>
      </c>
      <c r="F169" s="80">
        <f>IF(A169="","",D169+E169)</f>
        <v/>
      </c>
      <c r="G169" s="93">
        <f>IF(A169="","",RANK(F169,$F$42:$F$241))</f>
        <v/>
      </c>
      <c r="H169" s="94">
        <f>IF(A169="","",F169-ROW()/1000000)</f>
        <v/>
      </c>
    </row>
    <row r="170">
      <c r="A170" s="82">
        <f>IF('Estoque'!A133="","",'Estoque'!A133)</f>
        <v/>
      </c>
      <c r="B170" s="83">
        <f>IF(A170="","",'Estoque'!B133)</f>
        <v/>
      </c>
      <c r="C170" s="83">
        <f>IF(A170="","",'Estoque'!C133)</f>
        <v/>
      </c>
      <c r="D170" s="80">
        <f>IF(A170="","",'Estoque'!E133)</f>
        <v/>
      </c>
      <c r="E170" s="80">
        <f>IF(A170="","",'Estoque'!F133)</f>
        <v/>
      </c>
      <c r="F170" s="80">
        <f>IF(A170="","",D170+E170)</f>
        <v/>
      </c>
      <c r="G170" s="93">
        <f>IF(A170="","",RANK(F170,$F$42:$F$241))</f>
        <v/>
      </c>
      <c r="H170" s="94">
        <f>IF(A170="","",F170-ROW()/1000000)</f>
        <v/>
      </c>
    </row>
    <row r="171">
      <c r="A171" s="82">
        <f>IF('Estoque'!A134="","",'Estoque'!A134)</f>
        <v/>
      </c>
      <c r="B171" s="83">
        <f>IF(A171="","",'Estoque'!B134)</f>
        <v/>
      </c>
      <c r="C171" s="83">
        <f>IF(A171="","",'Estoque'!C134)</f>
        <v/>
      </c>
      <c r="D171" s="80">
        <f>IF(A171="","",'Estoque'!E134)</f>
        <v/>
      </c>
      <c r="E171" s="80">
        <f>IF(A171="","",'Estoque'!F134)</f>
        <v/>
      </c>
      <c r="F171" s="80">
        <f>IF(A171="","",D171+E171)</f>
        <v/>
      </c>
      <c r="G171" s="93">
        <f>IF(A171="","",RANK(F171,$F$42:$F$241))</f>
        <v/>
      </c>
      <c r="H171" s="94">
        <f>IF(A171="","",F171-ROW()/1000000)</f>
        <v/>
      </c>
    </row>
    <row r="172">
      <c r="A172" s="82">
        <f>IF('Estoque'!A135="","",'Estoque'!A135)</f>
        <v/>
      </c>
      <c r="B172" s="83">
        <f>IF(A172="","",'Estoque'!B135)</f>
        <v/>
      </c>
      <c r="C172" s="83">
        <f>IF(A172="","",'Estoque'!C135)</f>
        <v/>
      </c>
      <c r="D172" s="80">
        <f>IF(A172="","",'Estoque'!E135)</f>
        <v/>
      </c>
      <c r="E172" s="80">
        <f>IF(A172="","",'Estoque'!F135)</f>
        <v/>
      </c>
      <c r="F172" s="80">
        <f>IF(A172="","",D172+E172)</f>
        <v/>
      </c>
      <c r="G172" s="93">
        <f>IF(A172="","",RANK(F172,$F$42:$F$241))</f>
        <v/>
      </c>
      <c r="H172" s="94">
        <f>IF(A172="","",F172-ROW()/1000000)</f>
        <v/>
      </c>
    </row>
    <row r="173">
      <c r="A173" s="82">
        <f>IF('Estoque'!A136="","",'Estoque'!A136)</f>
        <v/>
      </c>
      <c r="B173" s="83">
        <f>IF(A173="","",'Estoque'!B136)</f>
        <v/>
      </c>
      <c r="C173" s="83">
        <f>IF(A173="","",'Estoque'!C136)</f>
        <v/>
      </c>
      <c r="D173" s="80">
        <f>IF(A173="","",'Estoque'!E136)</f>
        <v/>
      </c>
      <c r="E173" s="80">
        <f>IF(A173="","",'Estoque'!F136)</f>
        <v/>
      </c>
      <c r="F173" s="80">
        <f>IF(A173="","",D173+E173)</f>
        <v/>
      </c>
      <c r="G173" s="93">
        <f>IF(A173="","",RANK(F173,$F$42:$F$241))</f>
        <v/>
      </c>
      <c r="H173" s="94">
        <f>IF(A173="","",F173-ROW()/1000000)</f>
        <v/>
      </c>
    </row>
    <row r="174">
      <c r="A174" s="82">
        <f>IF('Estoque'!A137="","",'Estoque'!A137)</f>
        <v/>
      </c>
      <c r="B174" s="83">
        <f>IF(A174="","",'Estoque'!B137)</f>
        <v/>
      </c>
      <c r="C174" s="83">
        <f>IF(A174="","",'Estoque'!C137)</f>
        <v/>
      </c>
      <c r="D174" s="80">
        <f>IF(A174="","",'Estoque'!E137)</f>
        <v/>
      </c>
      <c r="E174" s="80">
        <f>IF(A174="","",'Estoque'!F137)</f>
        <v/>
      </c>
      <c r="F174" s="80">
        <f>IF(A174="","",D174+E174)</f>
        <v/>
      </c>
      <c r="G174" s="93">
        <f>IF(A174="","",RANK(F174,$F$42:$F$241))</f>
        <v/>
      </c>
      <c r="H174" s="94">
        <f>IF(A174="","",F174-ROW()/1000000)</f>
        <v/>
      </c>
    </row>
    <row r="175">
      <c r="A175" s="82">
        <f>IF('Estoque'!A138="","",'Estoque'!A138)</f>
        <v/>
      </c>
      <c r="B175" s="83">
        <f>IF(A175="","",'Estoque'!B138)</f>
        <v/>
      </c>
      <c r="C175" s="83">
        <f>IF(A175="","",'Estoque'!C138)</f>
        <v/>
      </c>
      <c r="D175" s="80">
        <f>IF(A175="","",'Estoque'!E138)</f>
        <v/>
      </c>
      <c r="E175" s="80">
        <f>IF(A175="","",'Estoque'!F138)</f>
        <v/>
      </c>
      <c r="F175" s="80">
        <f>IF(A175="","",D175+E175)</f>
        <v/>
      </c>
      <c r="G175" s="93">
        <f>IF(A175="","",RANK(F175,$F$42:$F$241))</f>
        <v/>
      </c>
      <c r="H175" s="94">
        <f>IF(A175="","",F175-ROW()/1000000)</f>
        <v/>
      </c>
    </row>
    <row r="176">
      <c r="A176" s="82">
        <f>IF('Estoque'!A139="","",'Estoque'!A139)</f>
        <v/>
      </c>
      <c r="B176" s="83">
        <f>IF(A176="","",'Estoque'!B139)</f>
        <v/>
      </c>
      <c r="C176" s="83">
        <f>IF(A176="","",'Estoque'!C139)</f>
        <v/>
      </c>
      <c r="D176" s="80">
        <f>IF(A176="","",'Estoque'!E139)</f>
        <v/>
      </c>
      <c r="E176" s="80">
        <f>IF(A176="","",'Estoque'!F139)</f>
        <v/>
      </c>
      <c r="F176" s="80">
        <f>IF(A176="","",D176+E176)</f>
        <v/>
      </c>
      <c r="G176" s="93">
        <f>IF(A176="","",RANK(F176,$F$42:$F$241))</f>
        <v/>
      </c>
      <c r="H176" s="94">
        <f>IF(A176="","",F176-ROW()/1000000)</f>
        <v/>
      </c>
    </row>
    <row r="177">
      <c r="A177" s="82">
        <f>IF('Estoque'!A140="","",'Estoque'!A140)</f>
        <v/>
      </c>
      <c r="B177" s="83">
        <f>IF(A177="","",'Estoque'!B140)</f>
        <v/>
      </c>
      <c r="C177" s="83">
        <f>IF(A177="","",'Estoque'!C140)</f>
        <v/>
      </c>
      <c r="D177" s="80">
        <f>IF(A177="","",'Estoque'!E140)</f>
        <v/>
      </c>
      <c r="E177" s="80">
        <f>IF(A177="","",'Estoque'!F140)</f>
        <v/>
      </c>
      <c r="F177" s="80">
        <f>IF(A177="","",D177+E177)</f>
        <v/>
      </c>
      <c r="G177" s="93">
        <f>IF(A177="","",RANK(F177,$F$42:$F$241))</f>
        <v/>
      </c>
      <c r="H177" s="94">
        <f>IF(A177="","",F177-ROW()/1000000)</f>
        <v/>
      </c>
    </row>
    <row r="178">
      <c r="A178" s="82">
        <f>IF('Estoque'!A141="","",'Estoque'!A141)</f>
        <v/>
      </c>
      <c r="B178" s="83">
        <f>IF(A178="","",'Estoque'!B141)</f>
        <v/>
      </c>
      <c r="C178" s="83">
        <f>IF(A178="","",'Estoque'!C141)</f>
        <v/>
      </c>
      <c r="D178" s="80">
        <f>IF(A178="","",'Estoque'!E141)</f>
        <v/>
      </c>
      <c r="E178" s="80">
        <f>IF(A178="","",'Estoque'!F141)</f>
        <v/>
      </c>
      <c r="F178" s="80">
        <f>IF(A178="","",D178+E178)</f>
        <v/>
      </c>
      <c r="G178" s="93">
        <f>IF(A178="","",RANK(F178,$F$42:$F$241))</f>
        <v/>
      </c>
      <c r="H178" s="94">
        <f>IF(A178="","",F178-ROW()/1000000)</f>
        <v/>
      </c>
    </row>
    <row r="179">
      <c r="A179" s="82">
        <f>IF('Estoque'!A142="","",'Estoque'!A142)</f>
        <v/>
      </c>
      <c r="B179" s="83">
        <f>IF(A179="","",'Estoque'!B142)</f>
        <v/>
      </c>
      <c r="C179" s="83">
        <f>IF(A179="","",'Estoque'!C142)</f>
        <v/>
      </c>
      <c r="D179" s="80">
        <f>IF(A179="","",'Estoque'!E142)</f>
        <v/>
      </c>
      <c r="E179" s="80">
        <f>IF(A179="","",'Estoque'!F142)</f>
        <v/>
      </c>
      <c r="F179" s="80">
        <f>IF(A179="","",D179+E179)</f>
        <v/>
      </c>
      <c r="G179" s="93">
        <f>IF(A179="","",RANK(F179,$F$42:$F$241))</f>
        <v/>
      </c>
      <c r="H179" s="94">
        <f>IF(A179="","",F179-ROW()/1000000)</f>
        <v/>
      </c>
    </row>
    <row r="180">
      <c r="A180" s="82">
        <f>IF('Estoque'!A143="","",'Estoque'!A143)</f>
        <v/>
      </c>
      <c r="B180" s="83">
        <f>IF(A180="","",'Estoque'!B143)</f>
        <v/>
      </c>
      <c r="C180" s="83">
        <f>IF(A180="","",'Estoque'!C143)</f>
        <v/>
      </c>
      <c r="D180" s="80">
        <f>IF(A180="","",'Estoque'!E143)</f>
        <v/>
      </c>
      <c r="E180" s="80">
        <f>IF(A180="","",'Estoque'!F143)</f>
        <v/>
      </c>
      <c r="F180" s="80">
        <f>IF(A180="","",D180+E180)</f>
        <v/>
      </c>
      <c r="G180" s="93">
        <f>IF(A180="","",RANK(F180,$F$42:$F$241))</f>
        <v/>
      </c>
      <c r="H180" s="94">
        <f>IF(A180="","",F180-ROW()/1000000)</f>
        <v/>
      </c>
    </row>
    <row r="181">
      <c r="A181" s="82">
        <f>IF('Estoque'!A144="","",'Estoque'!A144)</f>
        <v/>
      </c>
      <c r="B181" s="83">
        <f>IF(A181="","",'Estoque'!B144)</f>
        <v/>
      </c>
      <c r="C181" s="83">
        <f>IF(A181="","",'Estoque'!C144)</f>
        <v/>
      </c>
      <c r="D181" s="80">
        <f>IF(A181="","",'Estoque'!E144)</f>
        <v/>
      </c>
      <c r="E181" s="80">
        <f>IF(A181="","",'Estoque'!F144)</f>
        <v/>
      </c>
      <c r="F181" s="80">
        <f>IF(A181="","",D181+E181)</f>
        <v/>
      </c>
      <c r="G181" s="93">
        <f>IF(A181="","",RANK(F181,$F$42:$F$241))</f>
        <v/>
      </c>
      <c r="H181" s="94">
        <f>IF(A181="","",F181-ROW()/1000000)</f>
        <v/>
      </c>
    </row>
    <row r="182">
      <c r="A182" s="82">
        <f>IF('Estoque'!A145="","",'Estoque'!A145)</f>
        <v/>
      </c>
      <c r="B182" s="83">
        <f>IF(A182="","",'Estoque'!B145)</f>
        <v/>
      </c>
      <c r="C182" s="83">
        <f>IF(A182="","",'Estoque'!C145)</f>
        <v/>
      </c>
      <c r="D182" s="80">
        <f>IF(A182="","",'Estoque'!E145)</f>
        <v/>
      </c>
      <c r="E182" s="80">
        <f>IF(A182="","",'Estoque'!F145)</f>
        <v/>
      </c>
      <c r="F182" s="80">
        <f>IF(A182="","",D182+E182)</f>
        <v/>
      </c>
      <c r="G182" s="93">
        <f>IF(A182="","",RANK(F182,$F$42:$F$241))</f>
        <v/>
      </c>
      <c r="H182" s="94">
        <f>IF(A182="","",F182-ROW()/1000000)</f>
        <v/>
      </c>
    </row>
    <row r="183">
      <c r="A183" s="82">
        <f>IF('Estoque'!A146="","",'Estoque'!A146)</f>
        <v/>
      </c>
      <c r="B183" s="83">
        <f>IF(A183="","",'Estoque'!B146)</f>
        <v/>
      </c>
      <c r="C183" s="83">
        <f>IF(A183="","",'Estoque'!C146)</f>
        <v/>
      </c>
      <c r="D183" s="80">
        <f>IF(A183="","",'Estoque'!E146)</f>
        <v/>
      </c>
      <c r="E183" s="80">
        <f>IF(A183="","",'Estoque'!F146)</f>
        <v/>
      </c>
      <c r="F183" s="80">
        <f>IF(A183="","",D183+E183)</f>
        <v/>
      </c>
      <c r="G183" s="93">
        <f>IF(A183="","",RANK(F183,$F$42:$F$241))</f>
        <v/>
      </c>
      <c r="H183" s="94">
        <f>IF(A183="","",F183-ROW()/1000000)</f>
        <v/>
      </c>
    </row>
    <row r="184">
      <c r="A184" s="82">
        <f>IF('Estoque'!A147="","",'Estoque'!A147)</f>
        <v/>
      </c>
      <c r="B184" s="83">
        <f>IF(A184="","",'Estoque'!B147)</f>
        <v/>
      </c>
      <c r="C184" s="83">
        <f>IF(A184="","",'Estoque'!C147)</f>
        <v/>
      </c>
      <c r="D184" s="80">
        <f>IF(A184="","",'Estoque'!E147)</f>
        <v/>
      </c>
      <c r="E184" s="80">
        <f>IF(A184="","",'Estoque'!F147)</f>
        <v/>
      </c>
      <c r="F184" s="80">
        <f>IF(A184="","",D184+E184)</f>
        <v/>
      </c>
      <c r="G184" s="93">
        <f>IF(A184="","",RANK(F184,$F$42:$F$241))</f>
        <v/>
      </c>
      <c r="H184" s="94">
        <f>IF(A184="","",F184-ROW()/1000000)</f>
        <v/>
      </c>
    </row>
    <row r="185">
      <c r="A185" s="82">
        <f>IF('Estoque'!A148="","",'Estoque'!A148)</f>
        <v/>
      </c>
      <c r="B185" s="83">
        <f>IF(A185="","",'Estoque'!B148)</f>
        <v/>
      </c>
      <c r="C185" s="83">
        <f>IF(A185="","",'Estoque'!C148)</f>
        <v/>
      </c>
      <c r="D185" s="80">
        <f>IF(A185="","",'Estoque'!E148)</f>
        <v/>
      </c>
      <c r="E185" s="80">
        <f>IF(A185="","",'Estoque'!F148)</f>
        <v/>
      </c>
      <c r="F185" s="80">
        <f>IF(A185="","",D185+E185)</f>
        <v/>
      </c>
      <c r="G185" s="93">
        <f>IF(A185="","",RANK(F185,$F$42:$F$241))</f>
        <v/>
      </c>
      <c r="H185" s="94">
        <f>IF(A185="","",F185-ROW()/1000000)</f>
        <v/>
      </c>
    </row>
    <row r="186">
      <c r="A186" s="82">
        <f>IF('Estoque'!A149="","",'Estoque'!A149)</f>
        <v/>
      </c>
      <c r="B186" s="83">
        <f>IF(A186="","",'Estoque'!B149)</f>
        <v/>
      </c>
      <c r="C186" s="83">
        <f>IF(A186="","",'Estoque'!C149)</f>
        <v/>
      </c>
      <c r="D186" s="80">
        <f>IF(A186="","",'Estoque'!E149)</f>
        <v/>
      </c>
      <c r="E186" s="80">
        <f>IF(A186="","",'Estoque'!F149)</f>
        <v/>
      </c>
      <c r="F186" s="80">
        <f>IF(A186="","",D186+E186)</f>
        <v/>
      </c>
      <c r="G186" s="93">
        <f>IF(A186="","",RANK(F186,$F$42:$F$241))</f>
        <v/>
      </c>
      <c r="H186" s="94">
        <f>IF(A186="","",F186-ROW()/1000000)</f>
        <v/>
      </c>
    </row>
    <row r="187">
      <c r="A187" s="82">
        <f>IF('Estoque'!A150="","",'Estoque'!A150)</f>
        <v/>
      </c>
      <c r="B187" s="83">
        <f>IF(A187="","",'Estoque'!B150)</f>
        <v/>
      </c>
      <c r="C187" s="83">
        <f>IF(A187="","",'Estoque'!C150)</f>
        <v/>
      </c>
      <c r="D187" s="80">
        <f>IF(A187="","",'Estoque'!E150)</f>
        <v/>
      </c>
      <c r="E187" s="80">
        <f>IF(A187="","",'Estoque'!F150)</f>
        <v/>
      </c>
      <c r="F187" s="80">
        <f>IF(A187="","",D187+E187)</f>
        <v/>
      </c>
      <c r="G187" s="93">
        <f>IF(A187="","",RANK(F187,$F$42:$F$241))</f>
        <v/>
      </c>
      <c r="H187" s="94">
        <f>IF(A187="","",F187-ROW()/1000000)</f>
        <v/>
      </c>
    </row>
    <row r="188">
      <c r="A188" s="82">
        <f>IF('Estoque'!A151="","",'Estoque'!A151)</f>
        <v/>
      </c>
      <c r="B188" s="83">
        <f>IF(A188="","",'Estoque'!B151)</f>
        <v/>
      </c>
      <c r="C188" s="83">
        <f>IF(A188="","",'Estoque'!C151)</f>
        <v/>
      </c>
      <c r="D188" s="80">
        <f>IF(A188="","",'Estoque'!E151)</f>
        <v/>
      </c>
      <c r="E188" s="80">
        <f>IF(A188="","",'Estoque'!F151)</f>
        <v/>
      </c>
      <c r="F188" s="80">
        <f>IF(A188="","",D188+E188)</f>
        <v/>
      </c>
      <c r="G188" s="93">
        <f>IF(A188="","",RANK(F188,$F$42:$F$241))</f>
        <v/>
      </c>
      <c r="H188" s="94">
        <f>IF(A188="","",F188-ROW()/1000000)</f>
        <v/>
      </c>
    </row>
    <row r="189">
      <c r="A189" s="82">
        <f>IF('Estoque'!A152="","",'Estoque'!A152)</f>
        <v/>
      </c>
      <c r="B189" s="83">
        <f>IF(A189="","",'Estoque'!B152)</f>
        <v/>
      </c>
      <c r="C189" s="83">
        <f>IF(A189="","",'Estoque'!C152)</f>
        <v/>
      </c>
      <c r="D189" s="80">
        <f>IF(A189="","",'Estoque'!E152)</f>
        <v/>
      </c>
      <c r="E189" s="80">
        <f>IF(A189="","",'Estoque'!F152)</f>
        <v/>
      </c>
      <c r="F189" s="80">
        <f>IF(A189="","",D189+E189)</f>
        <v/>
      </c>
      <c r="G189" s="93">
        <f>IF(A189="","",RANK(F189,$F$42:$F$241))</f>
        <v/>
      </c>
      <c r="H189" s="94">
        <f>IF(A189="","",F189-ROW()/1000000)</f>
        <v/>
      </c>
    </row>
    <row r="190">
      <c r="A190" s="82">
        <f>IF('Estoque'!A153="","",'Estoque'!A153)</f>
        <v/>
      </c>
      <c r="B190" s="83">
        <f>IF(A190="","",'Estoque'!B153)</f>
        <v/>
      </c>
      <c r="C190" s="83">
        <f>IF(A190="","",'Estoque'!C153)</f>
        <v/>
      </c>
      <c r="D190" s="80">
        <f>IF(A190="","",'Estoque'!E153)</f>
        <v/>
      </c>
      <c r="E190" s="80">
        <f>IF(A190="","",'Estoque'!F153)</f>
        <v/>
      </c>
      <c r="F190" s="80">
        <f>IF(A190="","",D190+E190)</f>
        <v/>
      </c>
      <c r="G190" s="93">
        <f>IF(A190="","",RANK(F190,$F$42:$F$241))</f>
        <v/>
      </c>
      <c r="H190" s="94">
        <f>IF(A190="","",F190-ROW()/1000000)</f>
        <v/>
      </c>
    </row>
    <row r="191">
      <c r="A191" s="82">
        <f>IF('Estoque'!A154="","",'Estoque'!A154)</f>
        <v/>
      </c>
      <c r="B191" s="83">
        <f>IF(A191="","",'Estoque'!B154)</f>
        <v/>
      </c>
      <c r="C191" s="83">
        <f>IF(A191="","",'Estoque'!C154)</f>
        <v/>
      </c>
      <c r="D191" s="80">
        <f>IF(A191="","",'Estoque'!E154)</f>
        <v/>
      </c>
      <c r="E191" s="80">
        <f>IF(A191="","",'Estoque'!F154)</f>
        <v/>
      </c>
      <c r="F191" s="80">
        <f>IF(A191="","",D191+E191)</f>
        <v/>
      </c>
      <c r="G191" s="93">
        <f>IF(A191="","",RANK(F191,$F$42:$F$241))</f>
        <v/>
      </c>
      <c r="H191" s="94">
        <f>IF(A191="","",F191-ROW()/1000000)</f>
        <v/>
      </c>
    </row>
    <row r="192">
      <c r="A192" s="82">
        <f>IF('Estoque'!A155="","",'Estoque'!A155)</f>
        <v/>
      </c>
      <c r="B192" s="83">
        <f>IF(A192="","",'Estoque'!B155)</f>
        <v/>
      </c>
      <c r="C192" s="83">
        <f>IF(A192="","",'Estoque'!C155)</f>
        <v/>
      </c>
      <c r="D192" s="80">
        <f>IF(A192="","",'Estoque'!E155)</f>
        <v/>
      </c>
      <c r="E192" s="80">
        <f>IF(A192="","",'Estoque'!F155)</f>
        <v/>
      </c>
      <c r="F192" s="80">
        <f>IF(A192="","",D192+E192)</f>
        <v/>
      </c>
      <c r="G192" s="93">
        <f>IF(A192="","",RANK(F192,$F$42:$F$241))</f>
        <v/>
      </c>
      <c r="H192" s="94">
        <f>IF(A192="","",F192-ROW()/1000000)</f>
        <v/>
      </c>
    </row>
    <row r="193">
      <c r="A193" s="82">
        <f>IF('Estoque'!A156="","",'Estoque'!A156)</f>
        <v/>
      </c>
      <c r="B193" s="83">
        <f>IF(A193="","",'Estoque'!B156)</f>
        <v/>
      </c>
      <c r="C193" s="83">
        <f>IF(A193="","",'Estoque'!C156)</f>
        <v/>
      </c>
      <c r="D193" s="80">
        <f>IF(A193="","",'Estoque'!E156)</f>
        <v/>
      </c>
      <c r="E193" s="80">
        <f>IF(A193="","",'Estoque'!F156)</f>
        <v/>
      </c>
      <c r="F193" s="80">
        <f>IF(A193="","",D193+E193)</f>
        <v/>
      </c>
      <c r="G193" s="93">
        <f>IF(A193="","",RANK(F193,$F$42:$F$241))</f>
        <v/>
      </c>
      <c r="H193" s="94">
        <f>IF(A193="","",F193-ROW()/1000000)</f>
        <v/>
      </c>
    </row>
    <row r="194">
      <c r="A194" s="82">
        <f>IF('Estoque'!A157="","",'Estoque'!A157)</f>
        <v/>
      </c>
      <c r="B194" s="83">
        <f>IF(A194="","",'Estoque'!B157)</f>
        <v/>
      </c>
      <c r="C194" s="83">
        <f>IF(A194="","",'Estoque'!C157)</f>
        <v/>
      </c>
      <c r="D194" s="80">
        <f>IF(A194="","",'Estoque'!E157)</f>
        <v/>
      </c>
      <c r="E194" s="80">
        <f>IF(A194="","",'Estoque'!F157)</f>
        <v/>
      </c>
      <c r="F194" s="80">
        <f>IF(A194="","",D194+E194)</f>
        <v/>
      </c>
      <c r="G194" s="93">
        <f>IF(A194="","",RANK(F194,$F$42:$F$241))</f>
        <v/>
      </c>
      <c r="H194" s="94">
        <f>IF(A194="","",F194-ROW()/1000000)</f>
        <v/>
      </c>
    </row>
    <row r="195">
      <c r="A195" s="82">
        <f>IF('Estoque'!A158="","",'Estoque'!A158)</f>
        <v/>
      </c>
      <c r="B195" s="83">
        <f>IF(A195="","",'Estoque'!B158)</f>
        <v/>
      </c>
      <c r="C195" s="83">
        <f>IF(A195="","",'Estoque'!C158)</f>
        <v/>
      </c>
      <c r="D195" s="80">
        <f>IF(A195="","",'Estoque'!E158)</f>
        <v/>
      </c>
      <c r="E195" s="80">
        <f>IF(A195="","",'Estoque'!F158)</f>
        <v/>
      </c>
      <c r="F195" s="80">
        <f>IF(A195="","",D195+E195)</f>
        <v/>
      </c>
      <c r="G195" s="93">
        <f>IF(A195="","",RANK(F195,$F$42:$F$241))</f>
        <v/>
      </c>
      <c r="H195" s="94">
        <f>IF(A195="","",F195-ROW()/1000000)</f>
        <v/>
      </c>
    </row>
    <row r="196">
      <c r="A196" s="82">
        <f>IF('Estoque'!A159="","",'Estoque'!A159)</f>
        <v/>
      </c>
      <c r="B196" s="83">
        <f>IF(A196="","",'Estoque'!B159)</f>
        <v/>
      </c>
      <c r="C196" s="83">
        <f>IF(A196="","",'Estoque'!C159)</f>
        <v/>
      </c>
      <c r="D196" s="80">
        <f>IF(A196="","",'Estoque'!E159)</f>
        <v/>
      </c>
      <c r="E196" s="80">
        <f>IF(A196="","",'Estoque'!F159)</f>
        <v/>
      </c>
      <c r="F196" s="80">
        <f>IF(A196="","",D196+E196)</f>
        <v/>
      </c>
      <c r="G196" s="93">
        <f>IF(A196="","",RANK(F196,$F$42:$F$241))</f>
        <v/>
      </c>
      <c r="H196" s="94">
        <f>IF(A196="","",F196-ROW()/1000000)</f>
        <v/>
      </c>
    </row>
    <row r="197">
      <c r="A197" s="82">
        <f>IF('Estoque'!A160="","",'Estoque'!A160)</f>
        <v/>
      </c>
      <c r="B197" s="83">
        <f>IF(A197="","",'Estoque'!B160)</f>
        <v/>
      </c>
      <c r="C197" s="83">
        <f>IF(A197="","",'Estoque'!C160)</f>
        <v/>
      </c>
      <c r="D197" s="80">
        <f>IF(A197="","",'Estoque'!E160)</f>
        <v/>
      </c>
      <c r="E197" s="80">
        <f>IF(A197="","",'Estoque'!F160)</f>
        <v/>
      </c>
      <c r="F197" s="80">
        <f>IF(A197="","",D197+E197)</f>
        <v/>
      </c>
      <c r="G197" s="93">
        <f>IF(A197="","",RANK(F197,$F$42:$F$241))</f>
        <v/>
      </c>
      <c r="H197" s="94">
        <f>IF(A197="","",F197-ROW()/1000000)</f>
        <v/>
      </c>
    </row>
    <row r="198">
      <c r="A198" s="82">
        <f>IF('Estoque'!A161="","",'Estoque'!A161)</f>
        <v/>
      </c>
      <c r="B198" s="83">
        <f>IF(A198="","",'Estoque'!B161)</f>
        <v/>
      </c>
      <c r="C198" s="83">
        <f>IF(A198="","",'Estoque'!C161)</f>
        <v/>
      </c>
      <c r="D198" s="80">
        <f>IF(A198="","",'Estoque'!E161)</f>
        <v/>
      </c>
      <c r="E198" s="80">
        <f>IF(A198="","",'Estoque'!F161)</f>
        <v/>
      </c>
      <c r="F198" s="80">
        <f>IF(A198="","",D198+E198)</f>
        <v/>
      </c>
      <c r="G198" s="93">
        <f>IF(A198="","",RANK(F198,$F$42:$F$241))</f>
        <v/>
      </c>
      <c r="H198" s="94">
        <f>IF(A198="","",F198-ROW()/1000000)</f>
        <v/>
      </c>
    </row>
    <row r="199">
      <c r="A199" s="82">
        <f>IF('Estoque'!A162="","",'Estoque'!A162)</f>
        <v/>
      </c>
      <c r="B199" s="83">
        <f>IF(A199="","",'Estoque'!B162)</f>
        <v/>
      </c>
      <c r="C199" s="83">
        <f>IF(A199="","",'Estoque'!C162)</f>
        <v/>
      </c>
      <c r="D199" s="80">
        <f>IF(A199="","",'Estoque'!E162)</f>
        <v/>
      </c>
      <c r="E199" s="80">
        <f>IF(A199="","",'Estoque'!F162)</f>
        <v/>
      </c>
      <c r="F199" s="80">
        <f>IF(A199="","",D199+E199)</f>
        <v/>
      </c>
      <c r="G199" s="93">
        <f>IF(A199="","",RANK(F199,$F$42:$F$241))</f>
        <v/>
      </c>
      <c r="H199" s="94">
        <f>IF(A199="","",F199-ROW()/1000000)</f>
        <v/>
      </c>
    </row>
    <row r="200">
      <c r="A200" s="82">
        <f>IF('Estoque'!A163="","",'Estoque'!A163)</f>
        <v/>
      </c>
      <c r="B200" s="83">
        <f>IF(A200="","",'Estoque'!B163)</f>
        <v/>
      </c>
      <c r="C200" s="83">
        <f>IF(A200="","",'Estoque'!C163)</f>
        <v/>
      </c>
      <c r="D200" s="80">
        <f>IF(A200="","",'Estoque'!E163)</f>
        <v/>
      </c>
      <c r="E200" s="80">
        <f>IF(A200="","",'Estoque'!F163)</f>
        <v/>
      </c>
      <c r="F200" s="80">
        <f>IF(A200="","",D200+E200)</f>
        <v/>
      </c>
      <c r="G200" s="93">
        <f>IF(A200="","",RANK(F200,$F$42:$F$241))</f>
        <v/>
      </c>
      <c r="H200" s="94">
        <f>IF(A200="","",F200-ROW()/1000000)</f>
        <v/>
      </c>
    </row>
    <row r="201">
      <c r="A201" s="82">
        <f>IF('Estoque'!A164="","",'Estoque'!A164)</f>
        <v/>
      </c>
      <c r="B201" s="83">
        <f>IF(A201="","",'Estoque'!B164)</f>
        <v/>
      </c>
      <c r="C201" s="83">
        <f>IF(A201="","",'Estoque'!C164)</f>
        <v/>
      </c>
      <c r="D201" s="80">
        <f>IF(A201="","",'Estoque'!E164)</f>
        <v/>
      </c>
      <c r="E201" s="80">
        <f>IF(A201="","",'Estoque'!F164)</f>
        <v/>
      </c>
      <c r="F201" s="80">
        <f>IF(A201="","",D201+E201)</f>
        <v/>
      </c>
      <c r="G201" s="93">
        <f>IF(A201="","",RANK(F201,$F$42:$F$241))</f>
        <v/>
      </c>
      <c r="H201" s="94">
        <f>IF(A201="","",F201-ROW()/1000000)</f>
        <v/>
      </c>
    </row>
    <row r="202">
      <c r="A202" s="82">
        <f>IF('Estoque'!A165="","",'Estoque'!A165)</f>
        <v/>
      </c>
      <c r="B202" s="83">
        <f>IF(A202="","",'Estoque'!B165)</f>
        <v/>
      </c>
      <c r="C202" s="83">
        <f>IF(A202="","",'Estoque'!C165)</f>
        <v/>
      </c>
      <c r="D202" s="80">
        <f>IF(A202="","",'Estoque'!E165)</f>
        <v/>
      </c>
      <c r="E202" s="80">
        <f>IF(A202="","",'Estoque'!F165)</f>
        <v/>
      </c>
      <c r="F202" s="80">
        <f>IF(A202="","",D202+E202)</f>
        <v/>
      </c>
      <c r="G202" s="93">
        <f>IF(A202="","",RANK(F202,$F$42:$F$241))</f>
        <v/>
      </c>
      <c r="H202" s="94">
        <f>IF(A202="","",F202-ROW()/1000000)</f>
        <v/>
      </c>
    </row>
    <row r="203">
      <c r="A203" s="82">
        <f>IF('Estoque'!A166="","",'Estoque'!A166)</f>
        <v/>
      </c>
      <c r="B203" s="83">
        <f>IF(A203="","",'Estoque'!B166)</f>
        <v/>
      </c>
      <c r="C203" s="83">
        <f>IF(A203="","",'Estoque'!C166)</f>
        <v/>
      </c>
      <c r="D203" s="80">
        <f>IF(A203="","",'Estoque'!E166)</f>
        <v/>
      </c>
      <c r="E203" s="80">
        <f>IF(A203="","",'Estoque'!F166)</f>
        <v/>
      </c>
      <c r="F203" s="80">
        <f>IF(A203="","",D203+E203)</f>
        <v/>
      </c>
      <c r="G203" s="93">
        <f>IF(A203="","",RANK(F203,$F$42:$F$241))</f>
        <v/>
      </c>
      <c r="H203" s="94">
        <f>IF(A203="","",F203-ROW()/1000000)</f>
        <v/>
      </c>
    </row>
    <row r="204">
      <c r="A204" s="82">
        <f>IF('Estoque'!A167="","",'Estoque'!A167)</f>
        <v/>
      </c>
      <c r="B204" s="83">
        <f>IF(A204="","",'Estoque'!B167)</f>
        <v/>
      </c>
      <c r="C204" s="83">
        <f>IF(A204="","",'Estoque'!C167)</f>
        <v/>
      </c>
      <c r="D204" s="80">
        <f>IF(A204="","",'Estoque'!E167)</f>
        <v/>
      </c>
      <c r="E204" s="80">
        <f>IF(A204="","",'Estoque'!F167)</f>
        <v/>
      </c>
      <c r="F204" s="80">
        <f>IF(A204="","",D204+E204)</f>
        <v/>
      </c>
      <c r="G204" s="93">
        <f>IF(A204="","",RANK(F204,$F$42:$F$241))</f>
        <v/>
      </c>
      <c r="H204" s="94">
        <f>IF(A204="","",F204-ROW()/1000000)</f>
        <v/>
      </c>
    </row>
    <row r="205">
      <c r="A205" s="82">
        <f>IF('Estoque'!A168="","",'Estoque'!A168)</f>
        <v/>
      </c>
      <c r="B205" s="83">
        <f>IF(A205="","",'Estoque'!B168)</f>
        <v/>
      </c>
      <c r="C205" s="83">
        <f>IF(A205="","",'Estoque'!C168)</f>
        <v/>
      </c>
      <c r="D205" s="80">
        <f>IF(A205="","",'Estoque'!E168)</f>
        <v/>
      </c>
      <c r="E205" s="80">
        <f>IF(A205="","",'Estoque'!F168)</f>
        <v/>
      </c>
      <c r="F205" s="80">
        <f>IF(A205="","",D205+E205)</f>
        <v/>
      </c>
      <c r="G205" s="93">
        <f>IF(A205="","",RANK(F205,$F$42:$F$241))</f>
        <v/>
      </c>
      <c r="H205" s="94">
        <f>IF(A205="","",F205-ROW()/1000000)</f>
        <v/>
      </c>
    </row>
    <row r="206">
      <c r="A206" s="82">
        <f>IF('Estoque'!A169="","",'Estoque'!A169)</f>
        <v/>
      </c>
      <c r="B206" s="83">
        <f>IF(A206="","",'Estoque'!B169)</f>
        <v/>
      </c>
      <c r="C206" s="83">
        <f>IF(A206="","",'Estoque'!C169)</f>
        <v/>
      </c>
      <c r="D206" s="80">
        <f>IF(A206="","",'Estoque'!E169)</f>
        <v/>
      </c>
      <c r="E206" s="80">
        <f>IF(A206="","",'Estoque'!F169)</f>
        <v/>
      </c>
      <c r="F206" s="80">
        <f>IF(A206="","",D206+E206)</f>
        <v/>
      </c>
      <c r="G206" s="93">
        <f>IF(A206="","",RANK(F206,$F$42:$F$241))</f>
        <v/>
      </c>
      <c r="H206" s="94">
        <f>IF(A206="","",F206-ROW()/1000000)</f>
        <v/>
      </c>
    </row>
    <row r="207">
      <c r="A207" s="82">
        <f>IF('Estoque'!A170="","",'Estoque'!A170)</f>
        <v/>
      </c>
      <c r="B207" s="83">
        <f>IF(A207="","",'Estoque'!B170)</f>
        <v/>
      </c>
      <c r="C207" s="83">
        <f>IF(A207="","",'Estoque'!C170)</f>
        <v/>
      </c>
      <c r="D207" s="80">
        <f>IF(A207="","",'Estoque'!E170)</f>
        <v/>
      </c>
      <c r="E207" s="80">
        <f>IF(A207="","",'Estoque'!F170)</f>
        <v/>
      </c>
      <c r="F207" s="80">
        <f>IF(A207="","",D207+E207)</f>
        <v/>
      </c>
      <c r="G207" s="93">
        <f>IF(A207="","",RANK(F207,$F$42:$F$241))</f>
        <v/>
      </c>
      <c r="H207" s="94">
        <f>IF(A207="","",F207-ROW()/1000000)</f>
        <v/>
      </c>
    </row>
    <row r="208">
      <c r="A208" s="82">
        <f>IF('Estoque'!A171="","",'Estoque'!A171)</f>
        <v/>
      </c>
      <c r="B208" s="83">
        <f>IF(A208="","",'Estoque'!B171)</f>
        <v/>
      </c>
      <c r="C208" s="83">
        <f>IF(A208="","",'Estoque'!C171)</f>
        <v/>
      </c>
      <c r="D208" s="80">
        <f>IF(A208="","",'Estoque'!E171)</f>
        <v/>
      </c>
      <c r="E208" s="80">
        <f>IF(A208="","",'Estoque'!F171)</f>
        <v/>
      </c>
      <c r="F208" s="80">
        <f>IF(A208="","",D208+E208)</f>
        <v/>
      </c>
      <c r="G208" s="93">
        <f>IF(A208="","",RANK(F208,$F$42:$F$241))</f>
        <v/>
      </c>
      <c r="H208" s="94">
        <f>IF(A208="","",F208-ROW()/1000000)</f>
        <v/>
      </c>
    </row>
    <row r="209">
      <c r="A209" s="82">
        <f>IF('Estoque'!A172="","",'Estoque'!A172)</f>
        <v/>
      </c>
      <c r="B209" s="83">
        <f>IF(A209="","",'Estoque'!B172)</f>
        <v/>
      </c>
      <c r="C209" s="83">
        <f>IF(A209="","",'Estoque'!C172)</f>
        <v/>
      </c>
      <c r="D209" s="80">
        <f>IF(A209="","",'Estoque'!E172)</f>
        <v/>
      </c>
      <c r="E209" s="80">
        <f>IF(A209="","",'Estoque'!F172)</f>
        <v/>
      </c>
      <c r="F209" s="80">
        <f>IF(A209="","",D209+E209)</f>
        <v/>
      </c>
      <c r="G209" s="93">
        <f>IF(A209="","",RANK(F209,$F$42:$F$241))</f>
        <v/>
      </c>
      <c r="H209" s="94">
        <f>IF(A209="","",F209-ROW()/1000000)</f>
        <v/>
      </c>
    </row>
    <row r="210">
      <c r="A210" s="82">
        <f>IF('Estoque'!A173="","",'Estoque'!A173)</f>
        <v/>
      </c>
      <c r="B210" s="83">
        <f>IF(A210="","",'Estoque'!B173)</f>
        <v/>
      </c>
      <c r="C210" s="83">
        <f>IF(A210="","",'Estoque'!C173)</f>
        <v/>
      </c>
      <c r="D210" s="80">
        <f>IF(A210="","",'Estoque'!E173)</f>
        <v/>
      </c>
      <c r="E210" s="80">
        <f>IF(A210="","",'Estoque'!F173)</f>
        <v/>
      </c>
      <c r="F210" s="80">
        <f>IF(A210="","",D210+E210)</f>
        <v/>
      </c>
      <c r="G210" s="93">
        <f>IF(A210="","",RANK(F210,$F$42:$F$241))</f>
        <v/>
      </c>
      <c r="H210" s="94">
        <f>IF(A210="","",F210-ROW()/1000000)</f>
        <v/>
      </c>
    </row>
    <row r="211">
      <c r="A211" s="82">
        <f>IF('Estoque'!A174="","",'Estoque'!A174)</f>
        <v/>
      </c>
      <c r="B211" s="83">
        <f>IF(A211="","",'Estoque'!B174)</f>
        <v/>
      </c>
      <c r="C211" s="83">
        <f>IF(A211="","",'Estoque'!C174)</f>
        <v/>
      </c>
      <c r="D211" s="80">
        <f>IF(A211="","",'Estoque'!E174)</f>
        <v/>
      </c>
      <c r="E211" s="80">
        <f>IF(A211="","",'Estoque'!F174)</f>
        <v/>
      </c>
      <c r="F211" s="80">
        <f>IF(A211="","",D211+E211)</f>
        <v/>
      </c>
      <c r="G211" s="93">
        <f>IF(A211="","",RANK(F211,$F$42:$F$241))</f>
        <v/>
      </c>
      <c r="H211" s="94">
        <f>IF(A211="","",F211-ROW()/1000000)</f>
        <v/>
      </c>
    </row>
    <row r="212">
      <c r="A212" s="82">
        <f>IF('Estoque'!A175="","",'Estoque'!A175)</f>
        <v/>
      </c>
      <c r="B212" s="83">
        <f>IF(A212="","",'Estoque'!B175)</f>
        <v/>
      </c>
      <c r="C212" s="83">
        <f>IF(A212="","",'Estoque'!C175)</f>
        <v/>
      </c>
      <c r="D212" s="80">
        <f>IF(A212="","",'Estoque'!E175)</f>
        <v/>
      </c>
      <c r="E212" s="80">
        <f>IF(A212="","",'Estoque'!F175)</f>
        <v/>
      </c>
      <c r="F212" s="80">
        <f>IF(A212="","",D212+E212)</f>
        <v/>
      </c>
      <c r="G212" s="93">
        <f>IF(A212="","",RANK(F212,$F$42:$F$241))</f>
        <v/>
      </c>
      <c r="H212" s="94">
        <f>IF(A212="","",F212-ROW()/1000000)</f>
        <v/>
      </c>
    </row>
    <row r="213">
      <c r="A213" s="82">
        <f>IF('Estoque'!A176="","",'Estoque'!A176)</f>
        <v/>
      </c>
      <c r="B213" s="83">
        <f>IF(A213="","",'Estoque'!B176)</f>
        <v/>
      </c>
      <c r="C213" s="83">
        <f>IF(A213="","",'Estoque'!C176)</f>
        <v/>
      </c>
      <c r="D213" s="80">
        <f>IF(A213="","",'Estoque'!E176)</f>
        <v/>
      </c>
      <c r="E213" s="80">
        <f>IF(A213="","",'Estoque'!F176)</f>
        <v/>
      </c>
      <c r="F213" s="80">
        <f>IF(A213="","",D213+E213)</f>
        <v/>
      </c>
      <c r="G213" s="93">
        <f>IF(A213="","",RANK(F213,$F$42:$F$241))</f>
        <v/>
      </c>
      <c r="H213" s="94">
        <f>IF(A213="","",F213-ROW()/1000000)</f>
        <v/>
      </c>
    </row>
    <row r="214">
      <c r="A214" s="82">
        <f>IF('Estoque'!A177="","",'Estoque'!A177)</f>
        <v/>
      </c>
      <c r="B214" s="83">
        <f>IF(A214="","",'Estoque'!B177)</f>
        <v/>
      </c>
      <c r="C214" s="83">
        <f>IF(A214="","",'Estoque'!C177)</f>
        <v/>
      </c>
      <c r="D214" s="80">
        <f>IF(A214="","",'Estoque'!E177)</f>
        <v/>
      </c>
      <c r="E214" s="80">
        <f>IF(A214="","",'Estoque'!F177)</f>
        <v/>
      </c>
      <c r="F214" s="80">
        <f>IF(A214="","",D214+E214)</f>
        <v/>
      </c>
      <c r="G214" s="93">
        <f>IF(A214="","",RANK(F214,$F$42:$F$241))</f>
        <v/>
      </c>
      <c r="H214" s="94">
        <f>IF(A214="","",F214-ROW()/1000000)</f>
        <v/>
      </c>
    </row>
    <row r="215">
      <c r="A215" s="82">
        <f>IF('Estoque'!A178="","",'Estoque'!A178)</f>
        <v/>
      </c>
      <c r="B215" s="83">
        <f>IF(A215="","",'Estoque'!B178)</f>
        <v/>
      </c>
      <c r="C215" s="83">
        <f>IF(A215="","",'Estoque'!C178)</f>
        <v/>
      </c>
      <c r="D215" s="80">
        <f>IF(A215="","",'Estoque'!E178)</f>
        <v/>
      </c>
      <c r="E215" s="80">
        <f>IF(A215="","",'Estoque'!F178)</f>
        <v/>
      </c>
      <c r="F215" s="80">
        <f>IF(A215="","",D215+E215)</f>
        <v/>
      </c>
      <c r="G215" s="93">
        <f>IF(A215="","",RANK(F215,$F$42:$F$241))</f>
        <v/>
      </c>
      <c r="H215" s="94">
        <f>IF(A215="","",F215-ROW()/1000000)</f>
        <v/>
      </c>
    </row>
    <row r="216">
      <c r="A216" s="82">
        <f>IF('Estoque'!A179="","",'Estoque'!A179)</f>
        <v/>
      </c>
      <c r="B216" s="83">
        <f>IF(A216="","",'Estoque'!B179)</f>
        <v/>
      </c>
      <c r="C216" s="83">
        <f>IF(A216="","",'Estoque'!C179)</f>
        <v/>
      </c>
      <c r="D216" s="80">
        <f>IF(A216="","",'Estoque'!E179)</f>
        <v/>
      </c>
      <c r="E216" s="80">
        <f>IF(A216="","",'Estoque'!F179)</f>
        <v/>
      </c>
      <c r="F216" s="80">
        <f>IF(A216="","",D216+E216)</f>
        <v/>
      </c>
      <c r="G216" s="93">
        <f>IF(A216="","",RANK(F216,$F$42:$F$241))</f>
        <v/>
      </c>
      <c r="H216" s="94">
        <f>IF(A216="","",F216-ROW()/1000000)</f>
        <v/>
      </c>
    </row>
    <row r="217">
      <c r="A217" s="82">
        <f>IF('Estoque'!A180="","",'Estoque'!A180)</f>
        <v/>
      </c>
      <c r="B217" s="83">
        <f>IF(A217="","",'Estoque'!B180)</f>
        <v/>
      </c>
      <c r="C217" s="83">
        <f>IF(A217="","",'Estoque'!C180)</f>
        <v/>
      </c>
      <c r="D217" s="80">
        <f>IF(A217="","",'Estoque'!E180)</f>
        <v/>
      </c>
      <c r="E217" s="80">
        <f>IF(A217="","",'Estoque'!F180)</f>
        <v/>
      </c>
      <c r="F217" s="80">
        <f>IF(A217="","",D217+E217)</f>
        <v/>
      </c>
      <c r="G217" s="93">
        <f>IF(A217="","",RANK(F217,$F$42:$F$241))</f>
        <v/>
      </c>
      <c r="H217" s="94">
        <f>IF(A217="","",F217-ROW()/1000000)</f>
        <v/>
      </c>
    </row>
    <row r="218">
      <c r="A218" s="82">
        <f>IF('Estoque'!A181="","",'Estoque'!A181)</f>
        <v/>
      </c>
      <c r="B218" s="83">
        <f>IF(A218="","",'Estoque'!B181)</f>
        <v/>
      </c>
      <c r="C218" s="83">
        <f>IF(A218="","",'Estoque'!C181)</f>
        <v/>
      </c>
      <c r="D218" s="80">
        <f>IF(A218="","",'Estoque'!E181)</f>
        <v/>
      </c>
      <c r="E218" s="80">
        <f>IF(A218="","",'Estoque'!F181)</f>
        <v/>
      </c>
      <c r="F218" s="80">
        <f>IF(A218="","",D218+E218)</f>
        <v/>
      </c>
      <c r="G218" s="93">
        <f>IF(A218="","",RANK(F218,$F$42:$F$241))</f>
        <v/>
      </c>
      <c r="H218" s="94">
        <f>IF(A218="","",F218-ROW()/1000000)</f>
        <v/>
      </c>
    </row>
    <row r="219">
      <c r="A219" s="82">
        <f>IF('Estoque'!A182="","",'Estoque'!A182)</f>
        <v/>
      </c>
      <c r="B219" s="83">
        <f>IF(A219="","",'Estoque'!B182)</f>
        <v/>
      </c>
      <c r="C219" s="83">
        <f>IF(A219="","",'Estoque'!C182)</f>
        <v/>
      </c>
      <c r="D219" s="80">
        <f>IF(A219="","",'Estoque'!E182)</f>
        <v/>
      </c>
      <c r="E219" s="80">
        <f>IF(A219="","",'Estoque'!F182)</f>
        <v/>
      </c>
      <c r="F219" s="80">
        <f>IF(A219="","",D219+E219)</f>
        <v/>
      </c>
      <c r="G219" s="93">
        <f>IF(A219="","",RANK(F219,$F$42:$F$241))</f>
        <v/>
      </c>
      <c r="H219" s="94">
        <f>IF(A219="","",F219-ROW()/1000000)</f>
        <v/>
      </c>
    </row>
    <row r="220">
      <c r="A220" s="82">
        <f>IF('Estoque'!A183="","",'Estoque'!A183)</f>
        <v/>
      </c>
      <c r="B220" s="83">
        <f>IF(A220="","",'Estoque'!B183)</f>
        <v/>
      </c>
      <c r="C220" s="83">
        <f>IF(A220="","",'Estoque'!C183)</f>
        <v/>
      </c>
      <c r="D220" s="80">
        <f>IF(A220="","",'Estoque'!E183)</f>
        <v/>
      </c>
      <c r="E220" s="80">
        <f>IF(A220="","",'Estoque'!F183)</f>
        <v/>
      </c>
      <c r="F220" s="80">
        <f>IF(A220="","",D220+E220)</f>
        <v/>
      </c>
      <c r="G220" s="93">
        <f>IF(A220="","",RANK(F220,$F$42:$F$241))</f>
        <v/>
      </c>
      <c r="H220" s="94">
        <f>IF(A220="","",F220-ROW()/1000000)</f>
        <v/>
      </c>
    </row>
    <row r="221">
      <c r="A221" s="82">
        <f>IF('Estoque'!A184="","",'Estoque'!A184)</f>
        <v/>
      </c>
      <c r="B221" s="83">
        <f>IF(A221="","",'Estoque'!B184)</f>
        <v/>
      </c>
      <c r="C221" s="83">
        <f>IF(A221="","",'Estoque'!C184)</f>
        <v/>
      </c>
      <c r="D221" s="80">
        <f>IF(A221="","",'Estoque'!E184)</f>
        <v/>
      </c>
      <c r="E221" s="80">
        <f>IF(A221="","",'Estoque'!F184)</f>
        <v/>
      </c>
      <c r="F221" s="80">
        <f>IF(A221="","",D221+E221)</f>
        <v/>
      </c>
      <c r="G221" s="93">
        <f>IF(A221="","",RANK(F221,$F$42:$F$241))</f>
        <v/>
      </c>
      <c r="H221" s="94">
        <f>IF(A221="","",F221-ROW()/1000000)</f>
        <v/>
      </c>
    </row>
    <row r="222">
      <c r="A222" s="82">
        <f>IF('Estoque'!A185="","",'Estoque'!A185)</f>
        <v/>
      </c>
      <c r="B222" s="83">
        <f>IF(A222="","",'Estoque'!B185)</f>
        <v/>
      </c>
      <c r="C222" s="83">
        <f>IF(A222="","",'Estoque'!C185)</f>
        <v/>
      </c>
      <c r="D222" s="80">
        <f>IF(A222="","",'Estoque'!E185)</f>
        <v/>
      </c>
      <c r="E222" s="80">
        <f>IF(A222="","",'Estoque'!F185)</f>
        <v/>
      </c>
      <c r="F222" s="80">
        <f>IF(A222="","",D222+E222)</f>
        <v/>
      </c>
      <c r="G222" s="93">
        <f>IF(A222="","",RANK(F222,$F$42:$F$241))</f>
        <v/>
      </c>
      <c r="H222" s="94">
        <f>IF(A222="","",F222-ROW()/1000000)</f>
        <v/>
      </c>
    </row>
    <row r="223">
      <c r="A223" s="82">
        <f>IF('Estoque'!A186="","",'Estoque'!A186)</f>
        <v/>
      </c>
      <c r="B223" s="83">
        <f>IF(A223="","",'Estoque'!B186)</f>
        <v/>
      </c>
      <c r="C223" s="83">
        <f>IF(A223="","",'Estoque'!C186)</f>
        <v/>
      </c>
      <c r="D223" s="80">
        <f>IF(A223="","",'Estoque'!E186)</f>
        <v/>
      </c>
      <c r="E223" s="80">
        <f>IF(A223="","",'Estoque'!F186)</f>
        <v/>
      </c>
      <c r="F223" s="80">
        <f>IF(A223="","",D223+E223)</f>
        <v/>
      </c>
      <c r="G223" s="93">
        <f>IF(A223="","",RANK(F223,$F$42:$F$241))</f>
        <v/>
      </c>
      <c r="H223" s="94">
        <f>IF(A223="","",F223-ROW()/1000000)</f>
        <v/>
      </c>
    </row>
    <row r="224">
      <c r="A224" s="82">
        <f>IF('Estoque'!A187="","",'Estoque'!A187)</f>
        <v/>
      </c>
      <c r="B224" s="83">
        <f>IF(A224="","",'Estoque'!B187)</f>
        <v/>
      </c>
      <c r="C224" s="83">
        <f>IF(A224="","",'Estoque'!C187)</f>
        <v/>
      </c>
      <c r="D224" s="80">
        <f>IF(A224="","",'Estoque'!E187)</f>
        <v/>
      </c>
      <c r="E224" s="80">
        <f>IF(A224="","",'Estoque'!F187)</f>
        <v/>
      </c>
      <c r="F224" s="80">
        <f>IF(A224="","",D224+E224)</f>
        <v/>
      </c>
      <c r="G224" s="93">
        <f>IF(A224="","",RANK(F224,$F$42:$F$241))</f>
        <v/>
      </c>
      <c r="H224" s="94">
        <f>IF(A224="","",F224-ROW()/1000000)</f>
        <v/>
      </c>
    </row>
    <row r="225">
      <c r="A225" s="82">
        <f>IF('Estoque'!A188="","",'Estoque'!A188)</f>
        <v/>
      </c>
      <c r="B225" s="83">
        <f>IF(A225="","",'Estoque'!B188)</f>
        <v/>
      </c>
      <c r="C225" s="83">
        <f>IF(A225="","",'Estoque'!C188)</f>
        <v/>
      </c>
      <c r="D225" s="80">
        <f>IF(A225="","",'Estoque'!E188)</f>
        <v/>
      </c>
      <c r="E225" s="80">
        <f>IF(A225="","",'Estoque'!F188)</f>
        <v/>
      </c>
      <c r="F225" s="80">
        <f>IF(A225="","",D225+E225)</f>
        <v/>
      </c>
      <c r="G225" s="93">
        <f>IF(A225="","",RANK(F225,$F$42:$F$241))</f>
        <v/>
      </c>
      <c r="H225" s="94">
        <f>IF(A225="","",F225-ROW()/1000000)</f>
        <v/>
      </c>
    </row>
    <row r="226">
      <c r="A226" s="82">
        <f>IF('Estoque'!A189="","",'Estoque'!A189)</f>
        <v/>
      </c>
      <c r="B226" s="83">
        <f>IF(A226="","",'Estoque'!B189)</f>
        <v/>
      </c>
      <c r="C226" s="83">
        <f>IF(A226="","",'Estoque'!C189)</f>
        <v/>
      </c>
      <c r="D226" s="80">
        <f>IF(A226="","",'Estoque'!E189)</f>
        <v/>
      </c>
      <c r="E226" s="80">
        <f>IF(A226="","",'Estoque'!F189)</f>
        <v/>
      </c>
      <c r="F226" s="80">
        <f>IF(A226="","",D226+E226)</f>
        <v/>
      </c>
      <c r="G226" s="93">
        <f>IF(A226="","",RANK(F226,$F$42:$F$241))</f>
        <v/>
      </c>
      <c r="H226" s="94">
        <f>IF(A226="","",F226-ROW()/1000000)</f>
        <v/>
      </c>
    </row>
    <row r="227">
      <c r="A227" s="82">
        <f>IF('Estoque'!A190="","",'Estoque'!A190)</f>
        <v/>
      </c>
      <c r="B227" s="83">
        <f>IF(A227="","",'Estoque'!B190)</f>
        <v/>
      </c>
      <c r="C227" s="83">
        <f>IF(A227="","",'Estoque'!C190)</f>
        <v/>
      </c>
      <c r="D227" s="80">
        <f>IF(A227="","",'Estoque'!E190)</f>
        <v/>
      </c>
      <c r="E227" s="80">
        <f>IF(A227="","",'Estoque'!F190)</f>
        <v/>
      </c>
      <c r="F227" s="80">
        <f>IF(A227="","",D227+E227)</f>
        <v/>
      </c>
      <c r="G227" s="93">
        <f>IF(A227="","",RANK(F227,$F$42:$F$241))</f>
        <v/>
      </c>
      <c r="H227" s="94">
        <f>IF(A227="","",F227-ROW()/1000000)</f>
        <v/>
      </c>
    </row>
    <row r="228">
      <c r="A228" s="82">
        <f>IF('Estoque'!A191="","",'Estoque'!A191)</f>
        <v/>
      </c>
      <c r="B228" s="83">
        <f>IF(A228="","",'Estoque'!B191)</f>
        <v/>
      </c>
      <c r="C228" s="83">
        <f>IF(A228="","",'Estoque'!C191)</f>
        <v/>
      </c>
      <c r="D228" s="80">
        <f>IF(A228="","",'Estoque'!E191)</f>
        <v/>
      </c>
      <c r="E228" s="80">
        <f>IF(A228="","",'Estoque'!F191)</f>
        <v/>
      </c>
      <c r="F228" s="80">
        <f>IF(A228="","",D228+E228)</f>
        <v/>
      </c>
      <c r="G228" s="93">
        <f>IF(A228="","",RANK(F228,$F$42:$F$241))</f>
        <v/>
      </c>
      <c r="H228" s="94">
        <f>IF(A228="","",F228-ROW()/1000000)</f>
        <v/>
      </c>
    </row>
    <row r="229">
      <c r="A229" s="82">
        <f>IF('Estoque'!A192="","",'Estoque'!A192)</f>
        <v/>
      </c>
      <c r="B229" s="83">
        <f>IF(A229="","",'Estoque'!B192)</f>
        <v/>
      </c>
      <c r="C229" s="83">
        <f>IF(A229="","",'Estoque'!C192)</f>
        <v/>
      </c>
      <c r="D229" s="80">
        <f>IF(A229="","",'Estoque'!E192)</f>
        <v/>
      </c>
      <c r="E229" s="80">
        <f>IF(A229="","",'Estoque'!F192)</f>
        <v/>
      </c>
      <c r="F229" s="80">
        <f>IF(A229="","",D229+E229)</f>
        <v/>
      </c>
      <c r="G229" s="93">
        <f>IF(A229="","",RANK(F229,$F$42:$F$241))</f>
        <v/>
      </c>
      <c r="H229" s="94">
        <f>IF(A229="","",F229-ROW()/1000000)</f>
        <v/>
      </c>
    </row>
    <row r="230">
      <c r="A230" s="82">
        <f>IF('Estoque'!A193="","",'Estoque'!A193)</f>
        <v/>
      </c>
      <c r="B230" s="83">
        <f>IF(A230="","",'Estoque'!B193)</f>
        <v/>
      </c>
      <c r="C230" s="83">
        <f>IF(A230="","",'Estoque'!C193)</f>
        <v/>
      </c>
      <c r="D230" s="80">
        <f>IF(A230="","",'Estoque'!E193)</f>
        <v/>
      </c>
      <c r="E230" s="80">
        <f>IF(A230="","",'Estoque'!F193)</f>
        <v/>
      </c>
      <c r="F230" s="80">
        <f>IF(A230="","",D230+E230)</f>
        <v/>
      </c>
      <c r="G230" s="93">
        <f>IF(A230="","",RANK(F230,$F$42:$F$241))</f>
        <v/>
      </c>
      <c r="H230" s="94">
        <f>IF(A230="","",F230-ROW()/1000000)</f>
        <v/>
      </c>
    </row>
    <row r="231">
      <c r="A231" s="82">
        <f>IF('Estoque'!A194="","",'Estoque'!A194)</f>
        <v/>
      </c>
      <c r="B231" s="83">
        <f>IF(A231="","",'Estoque'!B194)</f>
        <v/>
      </c>
      <c r="C231" s="83">
        <f>IF(A231="","",'Estoque'!C194)</f>
        <v/>
      </c>
      <c r="D231" s="80">
        <f>IF(A231="","",'Estoque'!E194)</f>
        <v/>
      </c>
      <c r="E231" s="80">
        <f>IF(A231="","",'Estoque'!F194)</f>
        <v/>
      </c>
      <c r="F231" s="80">
        <f>IF(A231="","",D231+E231)</f>
        <v/>
      </c>
      <c r="G231" s="93">
        <f>IF(A231="","",RANK(F231,$F$42:$F$241))</f>
        <v/>
      </c>
      <c r="H231" s="94">
        <f>IF(A231="","",F231-ROW()/1000000)</f>
        <v/>
      </c>
    </row>
    <row r="232">
      <c r="A232" s="82">
        <f>IF('Estoque'!A195="","",'Estoque'!A195)</f>
        <v/>
      </c>
      <c r="B232" s="83">
        <f>IF(A232="","",'Estoque'!B195)</f>
        <v/>
      </c>
      <c r="C232" s="83">
        <f>IF(A232="","",'Estoque'!C195)</f>
        <v/>
      </c>
      <c r="D232" s="80">
        <f>IF(A232="","",'Estoque'!E195)</f>
        <v/>
      </c>
      <c r="E232" s="80">
        <f>IF(A232="","",'Estoque'!F195)</f>
        <v/>
      </c>
      <c r="F232" s="80">
        <f>IF(A232="","",D232+E232)</f>
        <v/>
      </c>
      <c r="G232" s="93">
        <f>IF(A232="","",RANK(F232,$F$42:$F$241))</f>
        <v/>
      </c>
      <c r="H232" s="94">
        <f>IF(A232="","",F232-ROW()/1000000)</f>
        <v/>
      </c>
    </row>
    <row r="233">
      <c r="A233" s="82">
        <f>IF('Estoque'!A196="","",'Estoque'!A196)</f>
        <v/>
      </c>
      <c r="B233" s="83">
        <f>IF(A233="","",'Estoque'!B196)</f>
        <v/>
      </c>
      <c r="C233" s="83">
        <f>IF(A233="","",'Estoque'!C196)</f>
        <v/>
      </c>
      <c r="D233" s="80">
        <f>IF(A233="","",'Estoque'!E196)</f>
        <v/>
      </c>
      <c r="E233" s="80">
        <f>IF(A233="","",'Estoque'!F196)</f>
        <v/>
      </c>
      <c r="F233" s="80">
        <f>IF(A233="","",D233+E233)</f>
        <v/>
      </c>
      <c r="G233" s="93">
        <f>IF(A233="","",RANK(F233,$F$42:$F$241))</f>
        <v/>
      </c>
      <c r="H233" s="94">
        <f>IF(A233="","",F233-ROW()/1000000)</f>
        <v/>
      </c>
    </row>
    <row r="234">
      <c r="A234" s="82">
        <f>IF('Estoque'!A197="","",'Estoque'!A197)</f>
        <v/>
      </c>
      <c r="B234" s="83">
        <f>IF(A234="","",'Estoque'!B197)</f>
        <v/>
      </c>
      <c r="C234" s="83">
        <f>IF(A234="","",'Estoque'!C197)</f>
        <v/>
      </c>
      <c r="D234" s="80">
        <f>IF(A234="","",'Estoque'!E197)</f>
        <v/>
      </c>
      <c r="E234" s="80">
        <f>IF(A234="","",'Estoque'!F197)</f>
        <v/>
      </c>
      <c r="F234" s="80">
        <f>IF(A234="","",D234+E234)</f>
        <v/>
      </c>
      <c r="G234" s="93">
        <f>IF(A234="","",RANK(F234,$F$42:$F$241))</f>
        <v/>
      </c>
      <c r="H234" s="94">
        <f>IF(A234="","",F234-ROW()/1000000)</f>
        <v/>
      </c>
    </row>
    <row r="235">
      <c r="A235" s="82">
        <f>IF('Estoque'!A198="","",'Estoque'!A198)</f>
        <v/>
      </c>
      <c r="B235" s="83">
        <f>IF(A235="","",'Estoque'!B198)</f>
        <v/>
      </c>
      <c r="C235" s="83">
        <f>IF(A235="","",'Estoque'!C198)</f>
        <v/>
      </c>
      <c r="D235" s="80">
        <f>IF(A235="","",'Estoque'!E198)</f>
        <v/>
      </c>
      <c r="E235" s="80">
        <f>IF(A235="","",'Estoque'!F198)</f>
        <v/>
      </c>
      <c r="F235" s="80">
        <f>IF(A235="","",D235+E235)</f>
        <v/>
      </c>
      <c r="G235" s="93">
        <f>IF(A235="","",RANK(F235,$F$42:$F$241))</f>
        <v/>
      </c>
      <c r="H235" s="94">
        <f>IF(A235="","",F235-ROW()/1000000)</f>
        <v/>
      </c>
    </row>
    <row r="236">
      <c r="A236" s="82">
        <f>IF('Estoque'!A199="","",'Estoque'!A199)</f>
        <v/>
      </c>
      <c r="B236" s="83">
        <f>IF(A236="","",'Estoque'!B199)</f>
        <v/>
      </c>
      <c r="C236" s="83">
        <f>IF(A236="","",'Estoque'!C199)</f>
        <v/>
      </c>
      <c r="D236" s="80">
        <f>IF(A236="","",'Estoque'!E199)</f>
        <v/>
      </c>
      <c r="E236" s="80">
        <f>IF(A236="","",'Estoque'!F199)</f>
        <v/>
      </c>
      <c r="F236" s="80">
        <f>IF(A236="","",D236+E236)</f>
        <v/>
      </c>
      <c r="G236" s="93">
        <f>IF(A236="","",RANK(F236,$F$42:$F$241))</f>
        <v/>
      </c>
      <c r="H236" s="94">
        <f>IF(A236="","",F236-ROW()/1000000)</f>
        <v/>
      </c>
    </row>
    <row r="237">
      <c r="A237" s="82">
        <f>IF('Estoque'!A200="","",'Estoque'!A200)</f>
        <v/>
      </c>
      <c r="B237" s="83">
        <f>IF(A237="","",'Estoque'!B200)</f>
        <v/>
      </c>
      <c r="C237" s="83">
        <f>IF(A237="","",'Estoque'!C200)</f>
        <v/>
      </c>
      <c r="D237" s="80">
        <f>IF(A237="","",'Estoque'!E200)</f>
        <v/>
      </c>
      <c r="E237" s="80">
        <f>IF(A237="","",'Estoque'!F200)</f>
        <v/>
      </c>
      <c r="F237" s="80">
        <f>IF(A237="","",D237+E237)</f>
        <v/>
      </c>
      <c r="G237" s="93">
        <f>IF(A237="","",RANK(F237,$F$42:$F$241))</f>
        <v/>
      </c>
      <c r="H237" s="94">
        <f>IF(A237="","",F237-ROW()/1000000)</f>
        <v/>
      </c>
    </row>
    <row r="238">
      <c r="A238" s="82">
        <f>IF('Estoque'!A201="","",'Estoque'!A201)</f>
        <v/>
      </c>
      <c r="B238" s="83">
        <f>IF(A238="","",'Estoque'!B201)</f>
        <v/>
      </c>
      <c r="C238" s="83">
        <f>IF(A238="","",'Estoque'!C201)</f>
        <v/>
      </c>
      <c r="D238" s="80">
        <f>IF(A238="","",'Estoque'!E201)</f>
        <v/>
      </c>
      <c r="E238" s="80">
        <f>IF(A238="","",'Estoque'!F201)</f>
        <v/>
      </c>
      <c r="F238" s="80">
        <f>IF(A238="","",D238+E238)</f>
        <v/>
      </c>
      <c r="G238" s="93">
        <f>IF(A238="","",RANK(F238,$F$42:$F$241))</f>
        <v/>
      </c>
      <c r="H238" s="94">
        <f>IF(A238="","",F238-ROW()/1000000)</f>
        <v/>
      </c>
    </row>
    <row r="239">
      <c r="A239" s="82">
        <f>IF('Estoque'!A202="","",'Estoque'!A202)</f>
        <v/>
      </c>
      <c r="B239" s="83">
        <f>IF(A239="","",'Estoque'!B202)</f>
        <v/>
      </c>
      <c r="C239" s="83">
        <f>IF(A239="","",'Estoque'!C202)</f>
        <v/>
      </c>
      <c r="D239" s="80">
        <f>IF(A239="","",'Estoque'!E202)</f>
        <v/>
      </c>
      <c r="E239" s="80">
        <f>IF(A239="","",'Estoque'!F202)</f>
        <v/>
      </c>
      <c r="F239" s="80">
        <f>IF(A239="","",D239+E239)</f>
        <v/>
      </c>
      <c r="G239" s="93">
        <f>IF(A239="","",RANK(F239,$F$42:$F$241))</f>
        <v/>
      </c>
      <c r="H239" s="94">
        <f>IF(A239="","",F239-ROW()/1000000)</f>
        <v/>
      </c>
    </row>
    <row r="240">
      <c r="A240" s="82">
        <f>IF('Estoque'!A203="","",'Estoque'!A203)</f>
        <v/>
      </c>
      <c r="B240" s="83">
        <f>IF(A240="","",'Estoque'!B203)</f>
        <v/>
      </c>
      <c r="C240" s="83">
        <f>IF(A240="","",'Estoque'!C203)</f>
        <v/>
      </c>
      <c r="D240" s="80">
        <f>IF(A240="","",'Estoque'!E203)</f>
        <v/>
      </c>
      <c r="E240" s="80">
        <f>IF(A240="","",'Estoque'!F203)</f>
        <v/>
      </c>
      <c r="F240" s="80">
        <f>IF(A240="","",D240+E240)</f>
        <v/>
      </c>
      <c r="G240" s="93">
        <f>IF(A240="","",RANK(F240,$F$42:$F$241))</f>
        <v/>
      </c>
      <c r="H240" s="94">
        <f>IF(A240="","",F240-ROW()/1000000)</f>
        <v/>
      </c>
    </row>
    <row r="241">
      <c r="A241" s="82">
        <f>IF('Estoque'!A204="","",'Estoque'!A204)</f>
        <v/>
      </c>
      <c r="B241" s="83">
        <f>IF(A241="","",'Estoque'!B204)</f>
        <v/>
      </c>
      <c r="C241" s="83">
        <f>IF(A241="","",'Estoque'!C204)</f>
        <v/>
      </c>
      <c r="D241" s="80">
        <f>IF(A241="","",'Estoque'!E204)</f>
        <v/>
      </c>
      <c r="E241" s="80">
        <f>IF(A241="","",'Estoque'!F204)</f>
        <v/>
      </c>
      <c r="F241" s="80">
        <f>IF(A241="","",D241+E241)</f>
        <v/>
      </c>
      <c r="G241" s="93">
        <f>IF(A241="","",RANK(F241,$F$42:$F$241))</f>
        <v/>
      </c>
      <c r="H241" s="94">
        <f>IF(A241="","",F241-ROW()/1000000)</f>
        <v/>
      </c>
    </row>
  </sheetData>
  <autoFilter ref="A41:H241"/>
  <mergeCells count="8">
    <mergeCell ref="L33:N33"/>
    <mergeCell ref="L32:N32"/>
    <mergeCell ref="L36:N36"/>
    <mergeCell ref="L30:N30"/>
    <mergeCell ref="L31:N31"/>
    <mergeCell ref="L34:N34"/>
    <mergeCell ref="L35:N35"/>
    <mergeCell ref="L29:N29"/>
  </mergeCells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tabColor rgb="00FFB68D"/>
    <outlinePr summaryBelow="1" summaryRight="1"/>
    <pageSetUpPr fitToPage="1"/>
  </sheetPr>
  <dimension ref="A1:D13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95" customWidth="1" min="3" max="3"/>
  </cols>
  <sheetData>
    <row r="1" ht="12" customHeight="1">
      <c r="A1" s="1" t="n"/>
      <c r="B1" s="1" t="n"/>
      <c r="C1" s="1" t="n"/>
      <c r="D1" s="1" t="n"/>
    </row>
    <row r="2" ht="34" customHeight="1">
      <c r="A2" s="1" t="n"/>
      <c r="B2" s="95" t="inlineStr">
        <is>
          <t>Almox EO  ·  Leia-me</t>
        </is>
      </c>
      <c r="C2" s="1" t="n"/>
      <c r="D2" s="1" t="n"/>
    </row>
    <row r="3" ht="22" customHeight="1">
      <c r="A3" s="1" t="n"/>
      <c r="B3" s="96" t="inlineStr">
        <is>
          <t>Guia de uso do projeto  ·  Autor: Elinaldo Oliveira do Nascimento  ·  Projeto pessoal de portfólio  ·  Dados 100% fictícios</t>
        </is>
      </c>
      <c r="C3" s="1" t="n"/>
      <c r="D3" s="1" t="n"/>
    </row>
    <row r="4">
      <c r="A4" s="97" t="n"/>
      <c r="B4" s="97" t="n"/>
      <c r="C4" s="97" t="n"/>
      <c r="D4" s="97" t="n"/>
    </row>
    <row r="5" ht="26" customHeight="1">
      <c r="A5" s="97" t="n"/>
      <c r="B5" s="98" t="inlineStr">
        <is>
          <t>1. Objetivo do projeto</t>
        </is>
      </c>
      <c r="C5" s="99" t="n"/>
      <c r="D5" s="97" t="n"/>
    </row>
    <row r="6" ht="70" customHeight="1">
      <c r="A6" s="97" t="n"/>
      <c r="B6" s="100" t="inlineStr">
        <is>
          <t>Resumo</t>
        </is>
      </c>
      <c r="C6" s="101" t="inlineStr">
        <is>
          <t>O Almox EO simula o almoxarifado da empresa fictícia Conecta Log Serviços e Telecom, que atende a área de logística (embalagem e expedição) e equipes de campo de redes de fibra óptica. A planilha controla o cadastro de produtos, registra entradas e saídas, calcula saldos automaticamente, indica a necessidade de reposição e apresenta indicadores em um dashboard.</t>
        </is>
      </c>
      <c r="D6" s="97" t="n"/>
    </row>
    <row r="7" ht="38" customHeight="1">
      <c r="A7" s="97" t="n"/>
      <c r="B7" s="102" t="inlineStr">
        <is>
          <t>Ferramenta</t>
        </is>
      </c>
      <c r="C7" s="103" t="inlineStr">
        <is>
          <t>Somente Microsoft Excel: fórmulas, validação de dados, formatação condicional, filtros e gráficos. Sem macros, VBA ou serviços externos.</t>
        </is>
      </c>
      <c r="D7" s="97" t="n"/>
    </row>
    <row r="8" ht="38" customHeight="1">
      <c r="A8" s="97" t="n"/>
      <c r="B8" s="100" t="inlineStr">
        <is>
          <t>Dados</t>
        </is>
      </c>
      <c r="C8" s="101" t="inlineStr">
        <is>
          <t>Todos os produtos, fornecedores, pessoas, valores e movimentações são fictícios e servem apenas para demonstração. Período simulado: 01/05/2025 a 31/10/2025.</t>
        </is>
      </c>
      <c r="D8" s="97" t="n"/>
    </row>
    <row r="9">
      <c r="A9" s="97" t="n"/>
      <c r="B9" s="97" t="n"/>
      <c r="C9" s="97" t="n"/>
      <c r="D9" s="97" t="n"/>
    </row>
    <row r="10" ht="26" customHeight="1">
      <c r="A10" s="97" t="n"/>
      <c r="B10" s="98" t="inlineStr">
        <is>
          <t>2. Para que serve cada aba</t>
        </is>
      </c>
      <c r="C10" s="99" t="n"/>
      <c r="D10" s="97" t="n"/>
    </row>
    <row r="11" ht="38" customHeight="1">
      <c r="A11" s="97" t="n"/>
      <c r="B11" s="100" t="inlineStr">
        <is>
          <t>Dashboard</t>
        </is>
      </c>
      <c r="C11" s="101" t="inlineStr">
        <is>
          <t>Tela inicial. Mostra indicadores (cartões), gráficos, alertas de reposição e as últimas movimentações. Escolha o mês de análise na célula ao lado de 'MÊS DE ANÁLISE'.</t>
        </is>
      </c>
      <c r="D11" s="97" t="n"/>
    </row>
    <row r="12" ht="38" customHeight="1">
      <c r="A12" s="97" t="n"/>
      <c r="B12" s="102" t="inlineStr">
        <is>
          <t>Produtos</t>
        </is>
      </c>
      <c r="C12" s="103" t="inlineStr">
        <is>
          <t>Cadastro dos itens: código, nome, categoria, fornecedor, custo, estoque inicial, mínimo, máximo e localização.</t>
        </is>
      </c>
      <c r="D12" s="97" t="n"/>
    </row>
    <row r="13" ht="22" customHeight="1">
      <c r="A13" s="97" t="n"/>
      <c r="B13" s="100" t="inlineStr">
        <is>
          <t>Movimentações</t>
        </is>
      </c>
      <c r="C13" s="101" t="inlineStr">
        <is>
          <t>Histórico de entradas e saídas. Cada linha é uma operação com ID único.</t>
        </is>
      </c>
      <c r="D13" s="97" t="n"/>
    </row>
    <row r="14" ht="22" customHeight="1">
      <c r="A14" s="97" t="n"/>
      <c r="B14" s="102" t="inlineStr">
        <is>
          <t>Estoque</t>
        </is>
      </c>
      <c r="C14" s="103" t="inlineStr">
        <is>
          <t>Posição atual de cada produto, totalmente calculada. Mostra saldo, valor, status e sugestão de compra.</t>
        </is>
      </c>
      <c r="D14" s="97" t="n"/>
    </row>
    <row r="15" ht="38" customHeight="1">
      <c r="A15" s="97" t="n"/>
      <c r="B15" s="100" t="inlineStr">
        <is>
          <t>Relatórios</t>
        </is>
      </c>
      <c r="C15" s="101" t="inlineStr">
        <is>
          <t>Relatório mensal, por categoria, Top 10 mais movimentados e movimentação por produto. À direita fica a área de apoio usada pelo Dashboard e as listas das validações.</t>
        </is>
      </c>
      <c r="D15" s="97" t="n"/>
    </row>
    <row r="16" ht="22" customHeight="1">
      <c r="A16" s="97" t="n"/>
      <c r="B16" s="102" t="inlineStr">
        <is>
          <t>Leia-me</t>
        </is>
      </c>
      <c r="C16" s="103" t="inlineStr">
        <is>
          <t>Este guia.</t>
        </is>
      </c>
      <c r="D16" s="97" t="n"/>
    </row>
    <row r="17">
      <c r="A17" s="97" t="n"/>
      <c r="B17" s="97" t="n"/>
      <c r="C17" s="97" t="n"/>
      <c r="D17" s="97" t="n"/>
    </row>
    <row r="18" ht="26" customHeight="1">
      <c r="A18" s="97" t="n"/>
      <c r="B18" s="98" t="inlineStr">
        <is>
          <t>3. Cores das células</t>
        </is>
      </c>
      <c r="C18" s="99" t="n"/>
      <c r="D18" s="97" t="n"/>
    </row>
    <row r="19" ht="22" customHeight="1">
      <c r="A19" s="97" t="n"/>
      <c r="B19" s="100" t="inlineStr">
        <is>
          <t>Branco</t>
        </is>
      </c>
      <c r="C19" s="101" t="inlineStr">
        <is>
          <t>Células de digitação (dados de entrada).</t>
        </is>
      </c>
      <c r="D19" s="97" t="n"/>
    </row>
    <row r="20" ht="22" customHeight="1">
      <c r="A20" s="97" t="n"/>
      <c r="B20" s="102" t="inlineStr">
        <is>
          <t>Cinza-azulado</t>
        </is>
      </c>
      <c r="C20" s="103" t="inlineStr">
        <is>
          <t>Células com fórmulas. Não digite nelas: são preenchidas automaticamente.</t>
        </is>
      </c>
      <c r="D20" s="97" t="n"/>
    </row>
    <row r="21" ht="22" customHeight="1">
      <c r="A21" s="97" t="n"/>
      <c r="B21" s="100" t="inlineStr">
        <is>
          <t>Cabeçalho cinza-claro</t>
        </is>
      </c>
      <c r="C21" s="101" t="inlineStr">
        <is>
          <t>Colunas auxiliares usadas para ordenar listas do Dashboard.</t>
        </is>
      </c>
      <c r="D21" s="97" t="n"/>
    </row>
    <row r="22">
      <c r="A22" s="97" t="n"/>
      <c r="B22" s="97" t="n"/>
      <c r="C22" s="97" t="n"/>
      <c r="D22" s="97" t="n"/>
    </row>
    <row r="23" ht="26" customHeight="1">
      <c r="A23" s="97" t="n"/>
      <c r="B23" s="98" t="inlineStr">
        <is>
          <t>4. Como cadastrar um produto</t>
        </is>
      </c>
      <c r="C23" s="99" t="n"/>
      <c r="D23" s="97" t="n"/>
    </row>
    <row r="24" ht="22" customHeight="1">
      <c r="A24" s="97" t="n"/>
      <c r="B24" s="100" t="inlineStr">
        <is>
          <t>Passo 1</t>
        </is>
      </c>
      <c r="C24" s="101" t="inlineStr">
        <is>
          <t>Na aba Produtos, vá até a primeira linha vazia abaixo do último item.</t>
        </is>
      </c>
      <c r="D24" s="97" t="n"/>
    </row>
    <row r="25" ht="22" customHeight="1">
      <c r="A25" s="97" t="n"/>
      <c r="B25" s="102" t="inlineStr">
        <is>
          <t>Passo 2</t>
        </is>
      </c>
      <c r="C25" s="103" t="inlineStr">
        <is>
          <t>Digite um código novo e único (ex.: P031). Códigos repetidos são bloqueados.</t>
        </is>
      </c>
      <c r="D25" s="97" t="n"/>
    </row>
    <row r="26" ht="22" customHeight="1">
      <c r="A26" s="97" t="n"/>
      <c r="B26" s="100" t="inlineStr">
        <is>
          <t>Passo 3</t>
        </is>
      </c>
      <c r="C26" s="101" t="inlineStr">
        <is>
          <t>Preencha nome, escolha a categoria na lista, informe fornecedor e custo unitário (R$).</t>
        </is>
      </c>
      <c r="D26" s="97" t="n"/>
    </row>
    <row r="27" ht="22" customHeight="1">
      <c r="A27" s="97" t="n"/>
      <c r="B27" s="102" t="inlineStr">
        <is>
          <t>Passo 4</t>
        </is>
      </c>
      <c r="C27" s="103" t="inlineStr">
        <is>
          <t>Informe estoque inicial, mínimo e máximo (inteiros; o máximo deve ser maior que o mínimo).</t>
        </is>
      </c>
      <c r="D27" s="97" t="n"/>
    </row>
    <row r="28" ht="38" customHeight="1">
      <c r="A28" s="97" t="n"/>
      <c r="B28" s="100" t="inlineStr">
        <is>
          <t>Passo 5</t>
        </is>
      </c>
      <c r="C28" s="101" t="inlineStr">
        <is>
          <t>Informe a localização no padrão Rua-Prateleira-Nível, ex.: A-01-01. O item aparece sozinho na aba Estoque.</t>
        </is>
      </c>
      <c r="D28" s="97" t="n"/>
    </row>
    <row r="29">
      <c r="A29" s="97" t="n"/>
      <c r="B29" s="97" t="n"/>
      <c r="C29" s="97" t="n"/>
      <c r="D29" s="97" t="n"/>
    </row>
    <row r="30" ht="26" customHeight="1">
      <c r="A30" s="97" t="n"/>
      <c r="B30" s="98" t="inlineStr">
        <is>
          <t>5. Como registrar entradas e saídas</t>
        </is>
      </c>
      <c r="C30" s="99" t="n"/>
      <c r="D30" s="97" t="n"/>
    </row>
    <row r="31" ht="22" customHeight="1">
      <c r="A31" s="97" t="n"/>
      <c r="B31" s="100" t="inlineStr">
        <is>
          <t>Passo 1</t>
        </is>
      </c>
      <c r="C31" s="101" t="inlineStr">
        <is>
          <t>Na aba Movimentações, use a primeira linha vazia.</t>
        </is>
      </c>
      <c r="D31" s="97" t="n"/>
    </row>
    <row r="32" ht="22" customHeight="1">
      <c r="A32" s="97" t="n"/>
      <c r="B32" s="102" t="inlineStr">
        <is>
          <t>Passo 2</t>
        </is>
      </c>
      <c r="C32" s="103" t="inlineStr">
        <is>
          <t>Digite a data e o ID indicado em 'Próximo ID' (topo da aba).</t>
        </is>
      </c>
      <c r="D32" s="97" t="n"/>
    </row>
    <row r="33" ht="22" customHeight="1">
      <c r="A33" s="97" t="n"/>
      <c r="B33" s="100" t="inlineStr">
        <is>
          <t>Passo 3</t>
        </is>
      </c>
      <c r="C33" s="101" t="inlineStr">
        <is>
          <t>Escolha o código do produto na lista. O nome aparece automaticamente.</t>
        </is>
      </c>
      <c r="D33" s="97" t="n"/>
    </row>
    <row r="34" ht="22" customHeight="1">
      <c r="A34" s="97" t="n"/>
      <c r="B34" s="102" t="inlineStr">
        <is>
          <t>Passo 4</t>
        </is>
      </c>
      <c r="C34" s="103" t="inlineStr">
        <is>
          <t>Escolha o tipo (Entrada ou Saída), a quantidade (inteiro maior que zero), o responsável e uma observação.</t>
        </is>
      </c>
      <c r="D34" s="97" t="n"/>
    </row>
    <row r="35" ht="38" customHeight="1">
      <c r="A35" s="97" t="n"/>
      <c r="B35" s="100" t="inlineStr">
        <is>
          <t>Conferência</t>
        </is>
      </c>
      <c r="C35" s="101" t="inlineStr">
        <is>
          <t>A coluna 'Saldo do produto no fim do dia' mostra o saldo após a operação. Se ficar negativo, a célula fica vermelha: a saída é maior do que havia em estoque e deve ser revisada.</t>
        </is>
      </c>
      <c r="D35" s="97" t="n"/>
    </row>
    <row r="36">
      <c r="A36" s="97" t="n"/>
      <c r="B36" s="97" t="n"/>
      <c r="C36" s="97" t="n"/>
      <c r="D36" s="97" t="n"/>
    </row>
    <row r="37" ht="26" customHeight="1">
      <c r="A37" s="97" t="n"/>
      <c r="B37" s="98" t="inlineStr">
        <is>
          <t>6. Como funcionam os cálculos</t>
        </is>
      </c>
      <c r="C37" s="99" t="n"/>
      <c r="D37" s="97" t="n"/>
    </row>
    <row r="38" ht="22" customHeight="1">
      <c r="A38" s="97" t="n"/>
      <c r="B38" s="100" t="inlineStr">
        <is>
          <t>Saldo atual</t>
        </is>
      </c>
      <c r="C38" s="101" t="inlineStr">
        <is>
          <t>Saldo = Estoque inicial + Total de entradas − Total de saídas. O estoque inicial é o saldo em 01/05/2025.</t>
        </is>
      </c>
      <c r="D38" s="97" t="n"/>
    </row>
    <row r="39" ht="22" customHeight="1">
      <c r="A39" s="97" t="n"/>
      <c r="B39" s="102" t="inlineStr">
        <is>
          <t>Valor em estoque</t>
        </is>
      </c>
      <c r="C39" s="103" t="inlineStr">
        <is>
          <t>Valor = Saldo atual × Custo unitário. O custo é fixo por produto (não há custo médio).</t>
        </is>
      </c>
      <c r="D39" s="97" t="n"/>
    </row>
    <row r="40" ht="38" customHeight="1">
      <c r="A40" s="97" t="n"/>
      <c r="B40" s="100" t="inlineStr">
        <is>
          <t>Status</t>
        </is>
      </c>
      <c r="C40" s="101" t="inlineStr">
        <is>
          <t>CRÍTICO: saldo zerado ou negativo. REPOR: saldo maior que zero e menor ou igual ao estoque mínimo. OK: saldo acima do estoque mínimo.</t>
        </is>
      </c>
      <c r="D40" s="97" t="n"/>
    </row>
    <row r="41" ht="38" customHeight="1">
      <c r="A41" s="97" t="n"/>
      <c r="B41" s="102" t="inlineStr">
        <is>
          <t>Sugestão de reposição</t>
        </is>
      </c>
      <c r="C41" s="103" t="inlineStr">
        <is>
          <t>Para itens CRÍTICO ou REPOR: Estoque máximo − Saldo atual (nunca negativo). Para itens OK: 0. Assim a compra recompõe o estoque até o nível máximo definido no cadastro.</t>
        </is>
      </c>
      <c r="D41" s="97" t="n"/>
    </row>
    <row r="42" ht="38" customHeight="1">
      <c r="A42" s="97" t="n"/>
      <c r="B42" s="100" t="inlineStr">
        <is>
          <t>Prioridade dos alertas</t>
        </is>
      </c>
      <c r="C42" s="101" t="inlineStr">
        <is>
          <t>Os alertas são ordenados pela cobertura (saldo ÷ mínimo): quanto menor, mais urgente. Itens zerados aparecem primeiro.</t>
        </is>
      </c>
      <c r="D42" s="97" t="n"/>
    </row>
    <row r="43">
      <c r="A43" s="97" t="n"/>
      <c r="B43" s="97" t="n"/>
      <c r="C43" s="97" t="n"/>
      <c r="D43" s="97" t="n"/>
    </row>
    <row r="44" ht="26" customHeight="1">
      <c r="A44" s="97" t="n"/>
      <c r="B44" s="98" t="inlineStr">
        <is>
          <t>7. Como interpretar o Dashboard</t>
        </is>
      </c>
      <c r="C44" s="99" t="n"/>
      <c r="D44" s="97" t="n"/>
    </row>
    <row r="45" ht="38" customHeight="1">
      <c r="A45" s="97" t="n"/>
      <c r="B45" s="100" t="inlineStr">
        <is>
          <t>Cartões</t>
        </is>
      </c>
      <c r="C45" s="101" t="inlineStr">
        <is>
          <t>Produtos cadastrados, valor total em estoque, itens em alerta, entradas e saídas do mês escolhido e total de movimentações registradas.</t>
        </is>
      </c>
      <c r="D45" s="97" t="n"/>
    </row>
    <row r="46" ht="22" customHeight="1">
      <c r="A46" s="97" t="n"/>
      <c r="B46" s="102" t="inlineStr">
        <is>
          <t>Gráfico de colunas</t>
        </is>
      </c>
      <c r="C46" s="103" t="inlineStr">
        <is>
          <t>Compara unidades recebidas (ciano) e retiradas (laranja) por mês.</t>
        </is>
      </c>
      <c r="D46" s="97" t="n"/>
    </row>
    <row r="47" ht="22" customHeight="1">
      <c r="A47" s="97" t="n"/>
      <c r="B47" s="100" t="inlineStr">
        <is>
          <t>Gráfico de rosca</t>
        </is>
      </c>
      <c r="C47" s="101" t="inlineStr">
        <is>
          <t>Participação de cada categoria no valor total do estoque. A soma é igual ao cartão 'Valor em estoque'.</t>
        </is>
      </c>
      <c r="D47" s="97" t="n"/>
    </row>
    <row r="48" ht="22" customHeight="1">
      <c r="A48" s="97" t="n"/>
      <c r="B48" s="102" t="inlineStr">
        <is>
          <t>Gráfico de barras</t>
        </is>
      </c>
      <c r="C48" s="103" t="inlineStr">
        <is>
          <t>Até 8 produtos em alerta, com a quantidade sugerida para compra, do mais urgente para o menos urgente.</t>
        </is>
      </c>
      <c r="D48" s="97" t="n"/>
    </row>
    <row r="49" ht="22" customHeight="1">
      <c r="A49" s="97" t="n"/>
      <c r="B49" s="100" t="inlineStr">
        <is>
          <t>Tabelas</t>
        </is>
      </c>
      <c r="C49" s="101" t="inlineStr">
        <is>
          <t>Alertas de reposição (só itens que realmente estão em alerta) e as 8 movimentações mais recentes.</t>
        </is>
      </c>
      <c r="D49" s="97" t="n"/>
    </row>
    <row r="50" ht="38" customHeight="1">
      <c r="A50" s="97" t="n"/>
      <c r="B50" s="102" t="inlineStr">
        <is>
          <t>Atualização</t>
        </is>
      </c>
      <c r="C50" s="103" t="inlineStr">
        <is>
          <t>Tudo é recalculado automaticamente ao alterar Produtos ou Movimentações. Não há datas digitadas como se fossem atualizações: o cabeçalho mostra a data da última movimentação registrada.</t>
        </is>
      </c>
      <c r="D50" s="97" t="n"/>
    </row>
    <row r="51" ht="38" customHeight="1">
      <c r="A51" s="97" t="n"/>
      <c r="B51" s="100" t="inlineStr">
        <is>
          <t>Importante</t>
        </is>
      </c>
      <c r="C51" s="101" t="inlineStr">
        <is>
          <t>Ao abrir um arquivo baixado da internet, o Excel pode exibir 'MODO DE EXIBIÇÃO PROTEGIDO'. Nesse modo as fórmulas não são recalculadas. Clique em 'Habilitar Edição' para ver os valores.</t>
        </is>
      </c>
      <c r="D51" s="97" t="n"/>
    </row>
    <row r="52">
      <c r="A52" s="97" t="n"/>
      <c r="B52" s="97" t="n"/>
      <c r="C52" s="97" t="n"/>
      <c r="D52" s="97" t="n"/>
    </row>
    <row r="53" ht="26" customHeight="1">
      <c r="A53" s="97" t="n"/>
      <c r="B53" s="98" t="inlineStr">
        <is>
          <t>8. Fórmulas utilizadas</t>
        </is>
      </c>
      <c r="C53" s="99" t="n"/>
      <c r="D53" s="97" t="n"/>
    </row>
    <row r="54" ht="38" customHeight="1">
      <c r="A54" s="97" t="n"/>
      <c r="B54" s="100" t="inlineStr">
        <is>
          <t>SOMASES</t>
        </is>
      </c>
      <c r="C54" s="101" t="inlineStr">
        <is>
          <t>Soma as quantidades por código e tipo. Ex.: total de entradas do produto: =SOMASES(Movimentações!F:F; Movimentações!C:C; A5; Movimentações!E:E; "Entrada").</t>
        </is>
      </c>
      <c r="D54" s="97" t="n"/>
    </row>
    <row r="55" ht="22" customHeight="1">
      <c r="A55" s="97" t="n"/>
      <c r="B55" s="102" t="inlineStr">
        <is>
          <t>CONT.SES / CONT.SE</t>
        </is>
      </c>
      <c r="C55" s="103" t="inlineStr">
        <is>
          <t>Contam registros por critério: entradas no mês, produtos por categoria, itens com status REPOR.</t>
        </is>
      </c>
      <c r="D55" s="97" t="n"/>
    </row>
    <row r="56" ht="38" customHeight="1">
      <c r="A56" s="97" t="n"/>
      <c r="B56" s="100" t="inlineStr">
        <is>
          <t>ÍNDICE + CORRESP</t>
        </is>
      </c>
      <c r="C56" s="101" t="inlineStr">
        <is>
          <t>Busca o nome do produto a partir do código: =ÍNDICE(Produtos!B:B; CORRESP(C5; Produtos!A:A; 0)). Foi usada no lugar do PROCX por funcionar em qualquer versão do Excel e em outros programas.</t>
        </is>
      </c>
      <c r="D56" s="97" t="n"/>
    </row>
    <row r="57" ht="22" customHeight="1">
      <c r="A57" s="97" t="n"/>
      <c r="B57" s="102" t="inlineStr">
        <is>
          <t>SE</t>
        </is>
      </c>
      <c r="C57" s="103" t="inlineStr">
        <is>
          <t>Define o status (CRÍTICO, REPOR, OK) e deixa a célula vazia quando a linha não tem produto.</t>
        </is>
      </c>
      <c r="D57" s="97" t="n"/>
    </row>
    <row r="58" ht="22" customHeight="1">
      <c r="A58" s="97" t="n"/>
      <c r="B58" s="100" t="inlineStr">
        <is>
          <t>SEERRO</t>
        </is>
      </c>
      <c r="C58" s="101" t="inlineStr">
        <is>
          <t>Mostra uma mensagem ou célula vazia em vez de erro (ex.: 'Código não cadastrado').</t>
        </is>
      </c>
      <c r="D58" s="97" t="n"/>
    </row>
    <row r="59" ht="22" customHeight="1">
      <c r="A59" s="97" t="n"/>
      <c r="B59" s="102" t="inlineStr">
        <is>
          <t>MÁXIMO</t>
        </is>
      </c>
      <c r="C59" s="103" t="inlineStr">
        <is>
          <t>Garante que a sugestão de reposição nunca seja negativa e encontra a data da última movimentação.</t>
        </is>
      </c>
      <c r="D59" s="97" t="n"/>
    </row>
    <row r="60" ht="38" customHeight="1">
      <c r="A60" s="97" t="n"/>
      <c r="B60" s="100" t="inlineStr">
        <is>
          <t>MENOR / MAIOR</t>
        </is>
      </c>
      <c r="C60" s="101" t="inlineStr">
        <is>
          <t>Ordenam as listas do Dashboard: MENOR pega os itens de menor cobertura (mais urgentes); MAIOR pega as movimentações mais recentes.</t>
        </is>
      </c>
      <c r="D60" s="97" t="n"/>
    </row>
    <row r="61" ht="22" customHeight="1">
      <c r="A61" s="97" t="n"/>
      <c r="B61" s="102" t="inlineStr">
        <is>
          <t>ORDEM</t>
        </is>
      </c>
      <c r="C61" s="103" t="inlineStr">
        <is>
          <t>Cria o ranking de produtos mais movimentados no relatório por produto.</t>
        </is>
      </c>
      <c r="D61" s="97" t="n"/>
    </row>
    <row r="62" ht="22" customHeight="1">
      <c r="A62" s="97" t="n"/>
      <c r="B62" s="100" t="inlineStr">
        <is>
          <t>FIMMÊS</t>
        </is>
      </c>
      <c r="C62" s="101" t="inlineStr">
        <is>
          <t>Calcula o último dia de cada mês no relatório mensal.</t>
        </is>
      </c>
      <c r="D62" s="97" t="n"/>
    </row>
    <row r="63" ht="22" customHeight="1">
      <c r="A63" s="97" t="n"/>
      <c r="B63" s="102" t="inlineStr">
        <is>
          <t>CONT.VALORES / SOMA</t>
        </is>
      </c>
      <c r="C63" s="103" t="inlineStr">
        <is>
          <t>Contam produtos e movimentações e somam valores para os cartões do Dashboard.</t>
        </is>
      </c>
      <c r="D63" s="97" t="n"/>
    </row>
    <row r="64" ht="22" customHeight="1">
      <c r="A64" s="97" t="n"/>
      <c r="B64" s="100" t="inlineStr">
        <is>
          <t>DESLOC</t>
        </is>
      </c>
      <c r="C64" s="101" t="inlineStr">
        <is>
          <t>Usada no nome 'lst_Codigos' para que a lista de códigos cresça sozinha ao cadastrar novos produtos.</t>
        </is>
      </c>
      <c r="D64" s="97" t="n"/>
    </row>
    <row r="65" ht="38" customHeight="1">
      <c r="A65" s="97" t="n"/>
      <c r="B65" s="102" t="inlineStr">
        <is>
          <t>Validação de dados</t>
        </is>
      </c>
      <c r="C65" s="103" t="inlineStr">
        <is>
          <t>Listas suspensas (categoria, código, tipo, responsável, mês), números inteiros, código e ID únicos e padrão de localização.</t>
        </is>
      </c>
      <c r="D65" s="97" t="n"/>
    </row>
    <row r="66" ht="22" customHeight="1">
      <c r="A66" s="97" t="n"/>
      <c r="B66" s="100" t="inlineStr">
        <is>
          <t>Formatação condicional</t>
        </is>
      </c>
      <c r="C66" s="101" t="inlineStr">
        <is>
          <t>Cores de status, saldo negativo, ID duplicado, código inexistente e tipo de movimentação.</t>
        </is>
      </c>
      <c r="D66" s="97" t="n"/>
    </row>
    <row r="67">
      <c r="A67" s="97" t="n"/>
      <c r="B67" s="97" t="n"/>
      <c r="C67" s="97" t="n"/>
      <c r="D67" s="97" t="n"/>
    </row>
    <row r="68" ht="26" customHeight="1">
      <c r="A68" s="97" t="n"/>
      <c r="B68" s="98" t="inlineStr">
        <is>
          <t>9. Limitações do protótipo</t>
        </is>
      </c>
      <c r="C68" s="99" t="n"/>
      <c r="D68" s="97" t="n"/>
    </row>
    <row r="69" ht="22" customHeight="1">
      <c r="A69" s="97" t="n"/>
      <c r="B69" s="100" t="inlineStr">
        <is>
          <t>Capacidade</t>
        </is>
      </c>
      <c r="C69" s="101" t="inlineStr">
        <is>
          <t>Fórmulas preparadas para 200 produtos e 1.000 movimentações. Para mais, copie as fórmulas para baixo.</t>
        </is>
      </c>
      <c r="D69" s="97" t="n"/>
    </row>
    <row r="70" ht="22" customHeight="1">
      <c r="A70" s="97" t="n"/>
      <c r="B70" s="102" t="inlineStr">
        <is>
          <t>Custo</t>
        </is>
      </c>
      <c r="C70" s="103" t="inlineStr">
        <is>
          <t>Custo unitário fixo, sem custo médio ponderado ou histórico de preços.</t>
        </is>
      </c>
      <c r="D70" s="97" t="n"/>
    </row>
    <row r="71" ht="38" customHeight="1">
      <c r="A71" s="97" t="n"/>
      <c r="B71" s="100" t="inlineStr">
        <is>
          <t>Ordem das linhas</t>
        </is>
      </c>
      <c r="C71" s="101" t="inlineStr">
        <is>
          <t>Não ordene as abas Estoque e Relatórios: elas acompanham a ordem da aba Produtos. Use os filtros para consultar e a coluna Ranking para ver os mais movimentados.</t>
        </is>
      </c>
      <c r="D71" s="97" t="n"/>
    </row>
    <row r="72" ht="22" customHeight="1">
      <c r="A72" s="97" t="n"/>
      <c r="B72" s="102" t="inlineStr">
        <is>
          <t>Lista de alertas</t>
        </is>
      </c>
      <c r="C72" s="103" t="inlineStr">
        <is>
          <t>O Dashboard mostra até 8 itens em alerta. A lista completa está na aba Estoque (filtre por Status).</t>
        </is>
      </c>
      <c r="D72" s="97" t="n"/>
    </row>
    <row r="73" ht="22" customHeight="1">
      <c r="A73" s="97" t="n"/>
      <c r="B73" s="100" t="inlineStr">
        <is>
          <t>Mês de análise</t>
        </is>
      </c>
      <c r="C73" s="101" t="inlineStr">
        <is>
          <t>Lista fixa de Mai/2025 a Out/2025. Para novos meses, inclua linhas no relatório mensal.</t>
        </is>
      </c>
      <c r="D73" s="97" t="n"/>
    </row>
    <row r="74" ht="22" customHeight="1">
      <c r="A74" s="97" t="n"/>
      <c r="B74" s="102" t="inlineStr">
        <is>
          <t>Proteção</t>
        </is>
      </c>
      <c r="C74" s="103" t="inlineStr">
        <is>
          <t>As células com fórmulas não estão bloqueadas (sem senha), para facilitar o estudo.</t>
        </is>
      </c>
      <c r="D74" s="97" t="n"/>
    </row>
    <row r="75">
      <c r="A75" s="97" t="n"/>
      <c r="B75" s="97" t="n"/>
      <c r="C75" s="97" t="n"/>
      <c r="D75" s="97" t="n"/>
    </row>
    <row r="76" ht="26" customHeight="1">
      <c r="A76" s="97" t="n"/>
      <c r="B76" s="98" t="inlineStr">
        <is>
          <t>10. Desafios para evolução</t>
        </is>
      </c>
      <c r="C76" s="99" t="n"/>
      <c r="D76" s="97" t="n"/>
    </row>
    <row r="77" ht="22" customHeight="1">
      <c r="A77" s="97" t="n"/>
      <c r="B77" s="100" t="inlineStr">
        <is>
          <t>Proteção</t>
        </is>
      </c>
      <c r="C77" s="101" t="inlineStr">
        <is>
          <t>Proteger as abas, deixando liberadas só as células brancas de digitação.</t>
        </is>
      </c>
      <c r="D77" s="97" t="n"/>
    </row>
    <row r="78" ht="22" customHeight="1">
      <c r="A78" s="97" t="n"/>
      <c r="B78" s="102" t="inlineStr">
        <is>
          <t>Bloquear saída sem saldo</t>
        </is>
      </c>
      <c r="C78" s="103" t="inlineStr">
        <is>
          <t>Criar validação que impeça registrar uma saída maior que o saldo disponível.</t>
        </is>
      </c>
      <c r="D78" s="97" t="n"/>
    </row>
    <row r="79" ht="22" customHeight="1">
      <c r="A79" s="97" t="n"/>
      <c r="B79" s="100" t="inlineStr">
        <is>
          <t>Giro de estoque</t>
        </is>
      </c>
      <c r="C79" s="101" t="inlineStr">
        <is>
          <t>Calcular giro (saídas ÷ estoque médio) e cobertura em dias por produto.</t>
        </is>
      </c>
      <c r="D79" s="97" t="n"/>
    </row>
    <row r="80" ht="22" customHeight="1">
      <c r="A80" s="97" t="n"/>
      <c r="B80" s="102" t="inlineStr">
        <is>
          <t>Itens parados</t>
        </is>
      </c>
      <c r="C80" s="103" t="inlineStr">
        <is>
          <t>Listar produtos sem movimentação nos últimos 60 ou 90 dias.</t>
        </is>
      </c>
      <c r="D80" s="97" t="n"/>
    </row>
    <row r="81" ht="22" customHeight="1">
      <c r="A81" s="97" t="n"/>
      <c r="B81" s="100" t="inlineStr">
        <is>
          <t>Curva ABC</t>
        </is>
      </c>
      <c r="C81" s="101" t="inlineStr">
        <is>
          <t>Classificar os produtos por valor movimentado (A, B e C).</t>
        </is>
      </c>
      <c r="D81" s="97" t="n"/>
    </row>
    <row r="82" ht="22" customHeight="1">
      <c r="A82" s="97" t="n"/>
      <c r="B82" s="102" t="inlineStr">
        <is>
          <t>Custo médio</t>
        </is>
      </c>
      <c r="C82" s="103" t="inlineStr">
        <is>
          <t>Registrar o custo em cada entrada e calcular o custo médio ponderado.</t>
        </is>
      </c>
      <c r="D82" s="97" t="n"/>
    </row>
    <row r="83" ht="22" customHeight="1">
      <c r="A83" s="97" t="n"/>
      <c r="B83" s="100" t="inlineStr">
        <is>
          <t>PROCX e matrizes dinâmicas</t>
        </is>
      </c>
      <c r="C83" s="101" t="inlineStr">
        <is>
          <t>Recriar as buscas com PROCX e as listas do Dashboard com FILTRO e CLASSIFICAR.</t>
        </is>
      </c>
      <c r="D83" s="97" t="n"/>
    </row>
    <row r="84" ht="22" customHeight="1">
      <c r="A84" s="97" t="n"/>
      <c r="B84" s="102" t="inlineStr">
        <is>
          <t>Ponto de pedido</t>
        </is>
      </c>
      <c r="C84" s="103" t="inlineStr">
        <is>
          <t>Calcular o ponto de pedido com base no consumo médio diário e no prazo de entrega do fornecedor.</t>
        </is>
      </c>
      <c r="D84" s="97" t="n"/>
    </row>
    <row r="85" ht="22" customHeight="1">
      <c r="A85" s="97" t="n"/>
      <c r="B85" s="100" t="inlineStr">
        <is>
          <t>Power Query / Power BI</t>
        </is>
      </c>
      <c r="C85" s="101" t="inlineStr">
        <is>
          <t>Importar os dados e montar uma versão do dashboard em Power BI.</t>
        </is>
      </c>
      <c r="D85" s="97" t="n"/>
    </row>
    <row r="86">
      <c r="A86" s="97" t="n"/>
      <c r="B86" s="97" t="n"/>
      <c r="C86" s="97" t="n"/>
      <c r="D86" s="97" t="n"/>
    </row>
    <row r="87">
      <c r="A87" s="97" t="n"/>
      <c r="B87" s="97" t="n"/>
      <c r="C87" s="97" t="n"/>
      <c r="D87" s="97" t="n"/>
    </row>
    <row r="88">
      <c r="A88" s="97" t="n"/>
      <c r="B88" s="97" t="n"/>
      <c r="C88" s="97" t="n"/>
      <c r="D88" s="97" t="n"/>
    </row>
    <row r="89">
      <c r="A89" s="97" t="n"/>
      <c r="B89" s="97" t="n"/>
      <c r="C89" s="97" t="n"/>
      <c r="D89" s="97" t="n"/>
    </row>
    <row r="90">
      <c r="A90" s="97" t="n"/>
      <c r="B90" s="97" t="n"/>
      <c r="C90" s="97" t="n"/>
      <c r="D90" s="97" t="n"/>
    </row>
    <row r="91">
      <c r="A91" s="97" t="n"/>
      <c r="B91" s="97" t="n"/>
      <c r="C91" s="97" t="n"/>
      <c r="D91" s="97" t="n"/>
    </row>
    <row r="92">
      <c r="A92" s="97" t="n"/>
      <c r="B92" s="97" t="n"/>
      <c r="C92" s="97" t="n"/>
      <c r="D92" s="97" t="n"/>
    </row>
    <row r="93">
      <c r="A93" s="97" t="n"/>
      <c r="B93" s="97" t="n"/>
      <c r="C93" s="97" t="n"/>
      <c r="D93" s="97" t="n"/>
    </row>
    <row r="94">
      <c r="A94" s="97" t="n"/>
      <c r="B94" s="97" t="n"/>
      <c r="C94" s="97" t="n"/>
      <c r="D94" s="97" t="n"/>
    </row>
    <row r="95">
      <c r="A95" s="97" t="n"/>
      <c r="B95" s="97" t="n"/>
      <c r="C95" s="97" t="n"/>
      <c r="D95" s="97" t="n"/>
    </row>
    <row r="96">
      <c r="A96" s="97" t="n"/>
      <c r="B96" s="97" t="n"/>
      <c r="C96" s="97" t="n"/>
      <c r="D96" s="97" t="n"/>
    </row>
    <row r="97">
      <c r="A97" s="97" t="n"/>
      <c r="B97" s="97" t="n"/>
      <c r="C97" s="97" t="n"/>
      <c r="D97" s="97" t="n"/>
    </row>
    <row r="98">
      <c r="A98" s="97" t="n"/>
      <c r="B98" s="97" t="n"/>
      <c r="C98" s="97" t="n"/>
      <c r="D98" s="97" t="n"/>
    </row>
    <row r="99">
      <c r="A99" s="97" t="n"/>
      <c r="B99" s="97" t="n"/>
      <c r="C99" s="97" t="n"/>
      <c r="D99" s="97" t="n"/>
    </row>
    <row r="100">
      <c r="A100" s="97" t="n"/>
      <c r="B100" s="97" t="n"/>
      <c r="C100" s="97" t="n"/>
      <c r="D100" s="97" t="n"/>
    </row>
    <row r="101">
      <c r="A101" s="97" t="n"/>
      <c r="B101" s="97" t="n"/>
      <c r="C101" s="97" t="n"/>
      <c r="D101" s="97" t="n"/>
    </row>
    <row r="102">
      <c r="A102" s="97" t="n"/>
      <c r="B102" s="97" t="n"/>
      <c r="C102" s="97" t="n"/>
      <c r="D102" s="97" t="n"/>
    </row>
    <row r="103">
      <c r="A103" s="97" t="n"/>
      <c r="B103" s="97" t="n"/>
      <c r="C103" s="97" t="n"/>
      <c r="D103" s="97" t="n"/>
    </row>
    <row r="104">
      <c r="A104" s="97" t="n"/>
      <c r="B104" s="97" t="n"/>
      <c r="C104" s="97" t="n"/>
      <c r="D104" s="97" t="n"/>
    </row>
    <row r="105">
      <c r="A105" s="97" t="n"/>
      <c r="B105" s="97" t="n"/>
      <c r="C105" s="97" t="n"/>
      <c r="D105" s="97" t="n"/>
    </row>
    <row r="106">
      <c r="A106" s="97" t="n"/>
      <c r="B106" s="97" t="n"/>
      <c r="C106" s="97" t="n"/>
      <c r="D106" s="97" t="n"/>
    </row>
    <row r="107">
      <c r="A107" s="97" t="n"/>
      <c r="B107" s="97" t="n"/>
      <c r="C107" s="97" t="n"/>
      <c r="D107" s="97" t="n"/>
    </row>
    <row r="108">
      <c r="A108" s="97" t="n"/>
      <c r="B108" s="97" t="n"/>
      <c r="C108" s="97" t="n"/>
      <c r="D108" s="97" t="n"/>
    </row>
    <row r="109">
      <c r="A109" s="97" t="n"/>
      <c r="B109" s="97" t="n"/>
      <c r="C109" s="97" t="n"/>
      <c r="D109" s="97" t="n"/>
    </row>
    <row r="110">
      <c r="A110" s="97" t="n"/>
      <c r="B110" s="97" t="n"/>
      <c r="C110" s="97" t="n"/>
      <c r="D110" s="97" t="n"/>
    </row>
    <row r="111">
      <c r="A111" s="97" t="n"/>
      <c r="B111" s="97" t="n"/>
      <c r="C111" s="97" t="n"/>
      <c r="D111" s="97" t="n"/>
    </row>
    <row r="112">
      <c r="A112" s="97" t="n"/>
      <c r="B112" s="97" t="n"/>
      <c r="C112" s="97" t="n"/>
      <c r="D112" s="97" t="n"/>
    </row>
    <row r="113">
      <c r="A113" s="97" t="n"/>
      <c r="B113" s="97" t="n"/>
      <c r="C113" s="97" t="n"/>
      <c r="D113" s="97" t="n"/>
    </row>
    <row r="114">
      <c r="A114" s="97" t="n"/>
      <c r="B114" s="97" t="n"/>
      <c r="C114" s="97" t="n"/>
      <c r="D114" s="97" t="n"/>
    </row>
    <row r="115">
      <c r="A115" s="97" t="n"/>
      <c r="B115" s="97" t="n"/>
      <c r="C115" s="97" t="n"/>
      <c r="D115" s="97" t="n"/>
    </row>
    <row r="116">
      <c r="A116" s="97" t="n"/>
      <c r="B116" s="97" t="n"/>
      <c r="C116" s="97" t="n"/>
      <c r="D116" s="97" t="n"/>
    </row>
    <row r="117">
      <c r="A117" s="97" t="n"/>
      <c r="B117" s="97" t="n"/>
      <c r="C117" s="97" t="n"/>
      <c r="D117" s="97" t="n"/>
    </row>
    <row r="118">
      <c r="A118" s="97" t="n"/>
      <c r="B118" s="97" t="n"/>
      <c r="C118" s="97" t="n"/>
      <c r="D118" s="97" t="n"/>
    </row>
    <row r="119">
      <c r="A119" s="97" t="n"/>
      <c r="B119" s="97" t="n"/>
      <c r="C119" s="97" t="n"/>
      <c r="D119" s="97" t="n"/>
    </row>
    <row r="120">
      <c r="A120" s="97" t="n"/>
      <c r="B120" s="97" t="n"/>
      <c r="C120" s="97" t="n"/>
      <c r="D120" s="97" t="n"/>
    </row>
    <row r="121">
      <c r="A121" s="97" t="n"/>
      <c r="B121" s="97" t="n"/>
      <c r="C121" s="97" t="n"/>
      <c r="D121" s="97" t="n"/>
    </row>
    <row r="122">
      <c r="A122" s="97" t="n"/>
      <c r="B122" s="97" t="n"/>
      <c r="C122" s="97" t="n"/>
      <c r="D122" s="97" t="n"/>
    </row>
    <row r="123">
      <c r="A123" s="97" t="n"/>
      <c r="B123" s="97" t="n"/>
      <c r="C123" s="97" t="n"/>
      <c r="D123" s="97" t="n"/>
    </row>
    <row r="124">
      <c r="A124" s="97" t="n"/>
      <c r="B124" s="97" t="n"/>
      <c r="C124" s="97" t="n"/>
      <c r="D124" s="97" t="n"/>
    </row>
    <row r="125">
      <c r="A125" s="97" t="n"/>
      <c r="B125" s="97" t="n"/>
      <c r="C125" s="97" t="n"/>
      <c r="D125" s="97" t="n"/>
    </row>
    <row r="126">
      <c r="A126" s="97" t="n"/>
      <c r="B126" s="97" t="n"/>
      <c r="C126" s="97" t="n"/>
      <c r="D126" s="97" t="n"/>
    </row>
    <row r="127">
      <c r="A127" s="97" t="n"/>
      <c r="B127" s="97" t="n"/>
      <c r="C127" s="97" t="n"/>
      <c r="D127" s="97" t="n"/>
    </row>
    <row r="128">
      <c r="A128" s="97" t="n"/>
      <c r="B128" s="97" t="n"/>
      <c r="C128" s="97" t="n"/>
      <c r="D128" s="97" t="n"/>
    </row>
    <row r="129">
      <c r="A129" s="97" t="n"/>
      <c r="B129" s="97" t="n"/>
      <c r="C129" s="97" t="n"/>
      <c r="D129" s="97" t="n"/>
    </row>
    <row r="130">
      <c r="A130" s="97" t="n"/>
      <c r="B130" s="97" t="n"/>
      <c r="C130" s="97" t="n"/>
      <c r="D130" s="97" t="n"/>
    </row>
    <row r="131">
      <c r="A131" s="97" t="n"/>
      <c r="B131" s="97" t="n"/>
      <c r="C131" s="97" t="n"/>
      <c r="D131" s="97" t="n"/>
    </row>
    <row r="132">
      <c r="A132" s="97" t="n"/>
      <c r="B132" s="97" t="n"/>
      <c r="C132" s="97" t="n"/>
      <c r="D132" s="97" t="n"/>
    </row>
    <row r="133">
      <c r="A133" s="97" t="n"/>
      <c r="B133" s="97" t="n"/>
      <c r="C133" s="97" t="n"/>
      <c r="D133" s="97" t="n"/>
    </row>
    <row r="134">
      <c r="A134" s="97" t="n"/>
      <c r="B134" s="97" t="n"/>
      <c r="C134" s="97" t="n"/>
      <c r="D134" s="97" t="n"/>
    </row>
    <row r="135">
      <c r="A135" s="97" t="n"/>
      <c r="B135" s="97" t="n"/>
      <c r="C135" s="97" t="n"/>
      <c r="D135" s="97" t="n"/>
    </row>
    <row r="136">
      <c r="A136" s="97" t="n"/>
      <c r="B136" s="97" t="n"/>
      <c r="C136" s="97" t="n"/>
      <c r="D136" s="97" t="n"/>
    </row>
    <row r="137">
      <c r="A137" s="97" t="n"/>
      <c r="B137" s="97" t="n"/>
      <c r="C137" s="97" t="n"/>
      <c r="D137" s="97" t="n"/>
    </row>
    <row r="138">
      <c r="A138" s="97" t="n"/>
      <c r="B138" s="97" t="n"/>
      <c r="C138" s="97" t="n"/>
      <c r="D138" s="97" t="n"/>
    </row>
    <row r="139">
      <c r="A139" s="97" t="n"/>
      <c r="B139" s="97" t="n"/>
      <c r="C139" s="97" t="n"/>
      <c r="D139" s="97" t="n"/>
    </row>
  </sheetData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2026-10-18T00:48:51Z</dcterms:created>
  <dcterms:modified xmlns:dcterms="http://purl.org/dc/terms/" xmlns:xsi="http://www.w3.org/2001/XMLSchema-instance" xsi:type="dcterms:W3CDTF">2026-10-18T00:48:53Z</dcterms:modified>
</cp:coreProperties>
</file>